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dmin\Documents\"/>
    </mc:Choice>
  </mc:AlternateContent>
  <xr:revisionPtr revIDLastSave="0" documentId="8_{9AA23C50-6D0C-41C0-8694-C08724F5540F}" xr6:coauthVersionLast="47" xr6:coauthVersionMax="47" xr10:uidLastSave="{00000000-0000-0000-0000-000000000000}"/>
  <bookViews>
    <workbookView xWindow="-110" yWindow="-110" windowWidth="19420" windowHeight="10300" activeTab="1" xr2:uid="{00000000-000D-0000-FFFF-FFFF00000000}"/>
  </bookViews>
  <sheets>
    <sheet name="Data" sheetId="1" r:id="rId1"/>
    <sheet name="Dashboard" sheetId="2" r:id="rId2"/>
    <sheet name="Lists" sheetId="3" r:id="rId3"/>
    <sheet name="Dashboard (2)" sheetId="5" r:id="rId4"/>
  </sheets>
  <definedNames>
    <definedName name="_xlnm._FilterDatabase" localSheetId="0" hidden="1">Data!$A$1:$H$49</definedName>
    <definedName name="Slicer_Departm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5" l="1"/>
  <c r="E13" i="5"/>
  <c r="J13" i="5" s="1"/>
  <c r="D13" i="5"/>
  <c r="I13" i="5" s="1"/>
  <c r="F12" i="5"/>
  <c r="E12" i="5"/>
  <c r="H12" i="5" s="1"/>
  <c r="D12" i="5"/>
  <c r="I12" i="5" s="1"/>
  <c r="F11" i="5"/>
  <c r="E11" i="5"/>
  <c r="H11" i="5" s="1"/>
  <c r="D11" i="5"/>
  <c r="G11" i="5" s="1"/>
  <c r="F10" i="5"/>
  <c r="J10" i="5" s="1"/>
  <c r="E10" i="5"/>
  <c r="H10" i="5" s="1"/>
  <c r="D10" i="5"/>
  <c r="G10" i="5" s="1"/>
  <c r="F9" i="5"/>
  <c r="J9" i="5" s="1"/>
  <c r="E9" i="5"/>
  <c r="H9" i="5" s="1"/>
  <c r="D9" i="5"/>
  <c r="G9" i="5" s="1"/>
  <c r="F8" i="5"/>
  <c r="I8" i="5" s="1"/>
  <c r="E8" i="5"/>
  <c r="J8" i="5" s="1"/>
  <c r="D8" i="5"/>
  <c r="G8" i="5" s="1"/>
  <c r="G3" i="1"/>
  <c r="Q8" i="1" s="1"/>
  <c r="G4" i="1"/>
  <c r="Q14" i="1" s="1"/>
  <c r="G5" i="1"/>
  <c r="G6" i="1"/>
  <c r="G7" i="1"/>
  <c r="G8" i="1"/>
  <c r="Q15" i="1" s="1"/>
  <c r="G9" i="1"/>
  <c r="Q21" i="1" s="1"/>
  <c r="G10" i="1"/>
  <c r="Q4" i="1" s="1"/>
  <c r="G11" i="1"/>
  <c r="Q10" i="1" s="1"/>
  <c r="G12" i="1"/>
  <c r="Q16" i="1" s="1"/>
  <c r="G13" i="1"/>
  <c r="G14" i="1"/>
  <c r="G15" i="1"/>
  <c r="Q13" i="1" s="1"/>
  <c r="G16" i="1"/>
  <c r="G17" i="1"/>
  <c r="Q25" i="1" s="1"/>
  <c r="G18" i="1"/>
  <c r="Q29" i="1" s="1"/>
  <c r="G19" i="1"/>
  <c r="Q35" i="1" s="1"/>
  <c r="G20" i="1"/>
  <c r="Q41" i="1" s="1"/>
  <c r="G21" i="1"/>
  <c r="G22" i="1"/>
  <c r="G23" i="1"/>
  <c r="Q12" i="1" s="1"/>
  <c r="G24" i="1"/>
  <c r="Q18" i="1" s="1"/>
  <c r="G25" i="1"/>
  <c r="Q24" i="1" s="1"/>
  <c r="G26" i="1"/>
  <c r="Q26" i="1" s="1"/>
  <c r="G27" i="1"/>
  <c r="Q32" i="1" s="1"/>
  <c r="G28" i="1"/>
  <c r="Q38" i="1" s="1"/>
  <c r="G29" i="1"/>
  <c r="Q44" i="1" s="1"/>
  <c r="G30" i="1"/>
  <c r="Q27" i="1" s="1"/>
  <c r="G31" i="1"/>
  <c r="Q33" i="1" s="1"/>
  <c r="G32" i="1"/>
  <c r="Q39" i="1" s="1"/>
  <c r="G33" i="1"/>
  <c r="Q45" i="1" s="1"/>
  <c r="G34" i="1"/>
  <c r="Q28" i="1" s="1"/>
  <c r="G35" i="1"/>
  <c r="Q34" i="1" s="1"/>
  <c r="G36" i="1"/>
  <c r="Q40" i="1" s="1"/>
  <c r="G37" i="1"/>
  <c r="Q46" i="1" s="1"/>
  <c r="G38" i="1"/>
  <c r="Q31" i="1" s="1"/>
  <c r="G39" i="1"/>
  <c r="Q37" i="1" s="1"/>
  <c r="G40" i="1"/>
  <c r="Q43" i="1" s="1"/>
  <c r="G41" i="1"/>
  <c r="Q49" i="1" s="1"/>
  <c r="G42" i="1"/>
  <c r="G43" i="1"/>
  <c r="G44" i="1"/>
  <c r="G45" i="1"/>
  <c r="G46" i="1"/>
  <c r="Q30" i="1" s="1"/>
  <c r="G47" i="1"/>
  <c r="Q36" i="1" s="1"/>
  <c r="G48" i="1"/>
  <c r="Q42" i="1" s="1"/>
  <c r="G49" i="1"/>
  <c r="Q48" i="1" s="1"/>
  <c r="G2" i="1"/>
  <c r="Q2" i="1" s="1"/>
  <c r="Q47" i="1"/>
  <c r="P49" i="1"/>
  <c r="P48" i="1"/>
  <c r="P47" i="1"/>
  <c r="P46" i="1"/>
  <c r="P45" i="1"/>
  <c r="P44" i="1"/>
  <c r="P43" i="1"/>
  <c r="P42" i="1"/>
  <c r="P41" i="1"/>
  <c r="P40" i="1"/>
  <c r="P39" i="1"/>
  <c r="P38" i="1"/>
  <c r="P37" i="1"/>
  <c r="P36" i="1"/>
  <c r="P35" i="1"/>
  <c r="P34" i="1"/>
  <c r="P33" i="1"/>
  <c r="P32" i="1"/>
  <c r="P31" i="1"/>
  <c r="P30" i="1"/>
  <c r="P29" i="1"/>
  <c r="P28" i="1"/>
  <c r="P27" i="1"/>
  <c r="P26" i="1"/>
  <c r="O49" i="1"/>
  <c r="O48" i="1"/>
  <c r="O47" i="1"/>
  <c r="O46" i="1"/>
  <c r="O45" i="1"/>
  <c r="O44" i="1"/>
  <c r="O43" i="1"/>
  <c r="O42" i="1"/>
  <c r="O41" i="1"/>
  <c r="O40" i="1"/>
  <c r="O39" i="1"/>
  <c r="O38" i="1"/>
  <c r="O37" i="1"/>
  <c r="O36" i="1"/>
  <c r="O35" i="1"/>
  <c r="O34" i="1"/>
  <c r="O33" i="1"/>
  <c r="O32" i="1"/>
  <c r="O31" i="1"/>
  <c r="O30" i="1"/>
  <c r="O29" i="1"/>
  <c r="O28" i="1"/>
  <c r="O27" i="1"/>
  <c r="O26" i="1"/>
  <c r="N49" i="1"/>
  <c r="R49" i="1" s="1"/>
  <c r="N48" i="1"/>
  <c r="R48" i="1" s="1"/>
  <c r="N47" i="1"/>
  <c r="R47" i="1" s="1"/>
  <c r="N46" i="1"/>
  <c r="R46" i="1" s="1"/>
  <c r="N45" i="1"/>
  <c r="R45" i="1" s="1"/>
  <c r="N44" i="1"/>
  <c r="R44" i="1" s="1"/>
  <c r="N43" i="1"/>
  <c r="R43" i="1" s="1"/>
  <c r="N42" i="1"/>
  <c r="R42" i="1" s="1"/>
  <c r="N41" i="1"/>
  <c r="R41" i="1" s="1"/>
  <c r="N40" i="1"/>
  <c r="R40" i="1" s="1"/>
  <c r="N39" i="1"/>
  <c r="R39" i="1" s="1"/>
  <c r="N38" i="1"/>
  <c r="R38" i="1" s="1"/>
  <c r="N37" i="1"/>
  <c r="R37" i="1" s="1"/>
  <c r="N36" i="1"/>
  <c r="R36" i="1" s="1"/>
  <c r="N35" i="1"/>
  <c r="R35" i="1" s="1"/>
  <c r="N34" i="1"/>
  <c r="R34" i="1" s="1"/>
  <c r="N33" i="1"/>
  <c r="R33" i="1" s="1"/>
  <c r="N32" i="1"/>
  <c r="R32" i="1" s="1"/>
  <c r="N31" i="1"/>
  <c r="R31" i="1" s="1"/>
  <c r="N30" i="1"/>
  <c r="R30" i="1" s="1"/>
  <c r="N29" i="1"/>
  <c r="R29" i="1" s="1"/>
  <c r="N28" i="1"/>
  <c r="R28" i="1" s="1"/>
  <c r="N27" i="1"/>
  <c r="R27" i="1" s="1"/>
  <c r="N26" i="1"/>
  <c r="R26" i="1" s="1"/>
  <c r="Q23" i="1"/>
  <c r="Q22" i="1"/>
  <c r="Q20" i="1"/>
  <c r="Q19" i="1"/>
  <c r="Q17" i="1"/>
  <c r="Q9" i="1"/>
  <c r="Q7" i="1"/>
  <c r="Q6" i="1"/>
  <c r="Q3" i="1"/>
  <c r="P25" i="1"/>
  <c r="P24" i="1"/>
  <c r="P23" i="1"/>
  <c r="P22" i="1"/>
  <c r="P21" i="1"/>
  <c r="P20" i="1"/>
  <c r="P19" i="1"/>
  <c r="P18" i="1"/>
  <c r="P17" i="1"/>
  <c r="P16" i="1"/>
  <c r="P15" i="1"/>
  <c r="P14" i="1"/>
  <c r="P13" i="1"/>
  <c r="P12" i="1"/>
  <c r="P11" i="1"/>
  <c r="P10" i="1"/>
  <c r="P9" i="1"/>
  <c r="P8" i="1"/>
  <c r="O25" i="1"/>
  <c r="O24" i="1"/>
  <c r="O23" i="1"/>
  <c r="O22" i="1"/>
  <c r="O21" i="1"/>
  <c r="O20" i="1"/>
  <c r="O19" i="1"/>
  <c r="O18" i="1"/>
  <c r="O17" i="1"/>
  <c r="O16" i="1"/>
  <c r="O15" i="1"/>
  <c r="O14" i="1"/>
  <c r="O13" i="1"/>
  <c r="O12" i="1"/>
  <c r="O11" i="1"/>
  <c r="O10" i="1"/>
  <c r="O9" i="1"/>
  <c r="O8" i="1"/>
  <c r="O7" i="1"/>
  <c r="O5" i="1"/>
  <c r="N2" i="1"/>
  <c r="N25" i="1"/>
  <c r="N24" i="1"/>
  <c r="N23" i="1"/>
  <c r="N22" i="1"/>
  <c r="N21" i="1"/>
  <c r="N20" i="1"/>
  <c r="N19" i="1"/>
  <c r="N18" i="1"/>
  <c r="N17" i="1"/>
  <c r="N16" i="1"/>
  <c r="N15" i="1"/>
  <c r="N14" i="1"/>
  <c r="N13" i="1"/>
  <c r="N12" i="1"/>
  <c r="N11" i="1"/>
  <c r="N10" i="1"/>
  <c r="N9" i="1"/>
  <c r="N8" i="1"/>
  <c r="P7" i="1"/>
  <c r="F13" i="2" s="1"/>
  <c r="P6" i="1"/>
  <c r="P5" i="1"/>
  <c r="F11" i="2" s="1"/>
  <c r="P4" i="1"/>
  <c r="P3" i="1"/>
  <c r="F9" i="2" s="1"/>
  <c r="P2" i="1"/>
  <c r="O2" i="1"/>
  <c r="E8" i="2" s="1"/>
  <c r="O6" i="1"/>
  <c r="O4" i="1"/>
  <c r="E10" i="2" s="1"/>
  <c r="O3" i="1"/>
  <c r="E9" i="2" s="1"/>
  <c r="N3" i="1"/>
  <c r="N4" i="1"/>
  <c r="N5" i="1"/>
  <c r="N6" i="1"/>
  <c r="N7" i="1"/>
  <c r="D13" i="2" s="1"/>
  <c r="I11" i="5" l="1"/>
  <c r="J12" i="5"/>
  <c r="I10" i="5"/>
  <c r="J11" i="5"/>
  <c r="H8" i="5"/>
  <c r="I9" i="5"/>
  <c r="G13" i="5"/>
  <c r="G12" i="5"/>
  <c r="H13" i="5"/>
  <c r="D10" i="2"/>
  <c r="F10" i="2"/>
  <c r="J10" i="2" s="1"/>
  <c r="E13" i="2"/>
  <c r="J13" i="2" s="1"/>
  <c r="F12" i="2"/>
  <c r="E12" i="2"/>
  <c r="H12" i="2" s="1"/>
  <c r="R10" i="1"/>
  <c r="R18" i="1"/>
  <c r="F8" i="2"/>
  <c r="H8" i="2" s="1"/>
  <c r="E11" i="2"/>
  <c r="J11" i="2" s="1"/>
  <c r="Q5" i="1"/>
  <c r="R15" i="1"/>
  <c r="R23" i="1"/>
  <c r="R9" i="1"/>
  <c r="R17" i="1"/>
  <c r="R25" i="1"/>
  <c r="R6" i="1"/>
  <c r="R20" i="1"/>
  <c r="R3" i="1"/>
  <c r="R13" i="1"/>
  <c r="R21" i="1"/>
  <c r="R12" i="1"/>
  <c r="Q11" i="1"/>
  <c r="R5" i="1"/>
  <c r="R11" i="1"/>
  <c r="R19" i="1"/>
  <c r="R2" i="1"/>
  <c r="R14" i="1"/>
  <c r="R22" i="1"/>
  <c r="D8" i="2"/>
  <c r="R8" i="1"/>
  <c r="R16" i="1"/>
  <c r="R24" i="1"/>
  <c r="D11" i="2"/>
  <c r="G11" i="2" s="1"/>
  <c r="R4" i="1"/>
  <c r="D12" i="2"/>
  <c r="D9" i="2"/>
  <c r="G9" i="2" s="1"/>
  <c r="R7" i="1"/>
  <c r="J9" i="2"/>
  <c r="I13" i="2"/>
  <c r="G13" i="2"/>
  <c r="H9" i="2"/>
  <c r="H13" i="2" l="1"/>
  <c r="I10" i="2"/>
  <c r="J12" i="2"/>
  <c r="G10" i="2"/>
  <c r="G12" i="2"/>
  <c r="H10" i="2"/>
  <c r="J8" i="2"/>
  <c r="H11" i="2"/>
  <c r="I8" i="2"/>
  <c r="G8" i="2"/>
  <c r="I9" i="2"/>
  <c r="I12" i="2"/>
  <c r="I11" i="2"/>
</calcChain>
</file>

<file path=xl/sharedStrings.xml><?xml version="1.0" encoding="utf-8"?>
<sst xmlns="http://schemas.openxmlformats.org/spreadsheetml/2006/main" count="150" uniqueCount="25">
  <si>
    <t>FiscalYear</t>
  </si>
  <si>
    <t>Dept</t>
  </si>
  <si>
    <t>Quarter</t>
  </si>
  <si>
    <t>Notes</t>
  </si>
  <si>
    <t>Finance</t>
  </si>
  <si>
    <t>HR</t>
  </si>
  <si>
    <t>IT</t>
  </si>
  <si>
    <t>Sales</t>
  </si>
  <si>
    <t>Marketing</t>
  </si>
  <si>
    <t>Operations</t>
  </si>
  <si>
    <t>Budget ($)</t>
  </si>
  <si>
    <t>Forecast ($)</t>
  </si>
  <si>
    <t>Actual ($)</t>
  </si>
  <si>
    <t>Variance ($)</t>
  </si>
  <si>
    <t xml:space="preserve">Budget Vs Actual Analysis </t>
  </si>
  <si>
    <t>Current Year-&gt;</t>
  </si>
  <si>
    <t>Department</t>
  </si>
  <si>
    <t>Budget</t>
  </si>
  <si>
    <t>Actual</t>
  </si>
  <si>
    <t>Variance %</t>
  </si>
  <si>
    <t>Forecast</t>
  </si>
  <si>
    <t>Variance (Budget-Actual)</t>
  </si>
  <si>
    <t>Variance (Forecast-Actual)</t>
  </si>
  <si>
    <t>Variance (Budget-Actual)%</t>
  </si>
  <si>
    <t>Variance (Forecast-Actual)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</si>
</sst>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3" formatCode="_(* #,##0.00_);_(* \(#,##0.00\);_(* &quot;-&quot;??_);_(@_)"/>
    <numFmt numFmtId="165" formatCode="_(* #,##0_);_(* \(#,##0\);_(* &quot;-&quot;??_);_(@_)"/>
  </numFmts>
  <fonts count="9">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b/>
      <i/>
      <sz val="11"/>
      <color theme="1"/>
      <name val="Calibri"/>
      <family val="2"/>
      <scheme val="minor"/>
    </font>
    <font>
      <sz val="10"/>
      <color theme="1"/>
      <name val="Arial Unicode MS"/>
    </font>
    <font>
      <b/>
      <i/>
      <sz val="11"/>
      <color theme="0"/>
      <name val="Calibri"/>
      <family val="2"/>
      <scheme val="minor"/>
    </font>
    <font>
      <b/>
      <sz val="14"/>
      <color theme="3"/>
      <name val="Calibri"/>
      <family val="2"/>
      <scheme val="minor"/>
    </font>
    <font>
      <b/>
      <i/>
      <sz val="12"/>
      <color theme="3"/>
      <name val="Calibri"/>
      <family val="2"/>
      <scheme val="minor"/>
    </font>
  </fonts>
  <fills count="4">
    <fill>
      <patternFill patternType="none"/>
    </fill>
    <fill>
      <patternFill patternType="gray125"/>
    </fill>
    <fill>
      <patternFill patternType="solid">
        <fgColor theme="3"/>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diagonal/>
    </border>
  </borders>
  <cellStyleXfs count="2">
    <xf numFmtId="0" fontId="0" fillId="0" borderId="0"/>
    <xf numFmtId="43"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43" fontId="0" fillId="0" borderId="0" xfId="1" applyFont="1"/>
    <xf numFmtId="0" fontId="0" fillId="0" borderId="0" xfId="0" applyNumberFormat="1"/>
    <xf numFmtId="0" fontId="0" fillId="0" borderId="0" xfId="0" applyAlignment="1">
      <alignment horizontal="left"/>
    </xf>
    <xf numFmtId="43" fontId="0" fillId="0" borderId="0" xfId="0" applyNumberFormat="1"/>
    <xf numFmtId="0" fontId="0" fillId="0" borderId="0" xfId="0" applyBorder="1"/>
    <xf numFmtId="0" fontId="0" fillId="0" borderId="0" xfId="0" applyAlignment="1">
      <alignment horizontal="center"/>
    </xf>
    <xf numFmtId="0" fontId="0" fillId="0" borderId="2" xfId="0" applyBorder="1"/>
    <xf numFmtId="0" fontId="1" fillId="0" borderId="2" xfId="0" applyFont="1" applyBorder="1" applyAlignment="1">
      <alignment horizontal="center" vertical="center"/>
    </xf>
    <xf numFmtId="0" fontId="1" fillId="0" borderId="0" xfId="0" applyFont="1" applyBorder="1" applyAlignment="1">
      <alignment horizontal="center" vertical="top"/>
    </xf>
    <xf numFmtId="165" fontId="0" fillId="0" borderId="0" xfId="0" applyNumberFormat="1" applyBorder="1"/>
    <xf numFmtId="0" fontId="1" fillId="0" borderId="0" xfId="0" applyFont="1" applyBorder="1" applyAlignment="1">
      <alignment horizontal="center" vertical="center"/>
    </xf>
    <xf numFmtId="0" fontId="4" fillId="0" borderId="0" xfId="0" applyFont="1" applyBorder="1"/>
    <xf numFmtId="0" fontId="3" fillId="2" borderId="0" xfId="0" applyFont="1" applyFill="1" applyAlignment="1">
      <alignment horizontal="center" vertical="center"/>
    </xf>
    <xf numFmtId="0" fontId="6" fillId="2" borderId="0" xfId="0" applyFont="1" applyFill="1" applyAlignment="1">
      <alignment horizontal="center" vertical="center"/>
    </xf>
    <xf numFmtId="0" fontId="6" fillId="2" borderId="3" xfId="0" applyFont="1" applyFill="1" applyBorder="1" applyAlignment="1">
      <alignment horizontal="center" vertical="center" wrapText="1"/>
    </xf>
    <xf numFmtId="0" fontId="1" fillId="3" borderId="1" xfId="0" applyFont="1" applyFill="1" applyBorder="1"/>
    <xf numFmtId="0" fontId="0" fillId="0" borderId="0" xfId="0" applyFill="1"/>
    <xf numFmtId="165" fontId="1" fillId="0" borderId="0" xfId="0" applyNumberFormat="1" applyFont="1" applyFill="1" applyBorder="1"/>
    <xf numFmtId="0" fontId="7" fillId="0" borderId="2" xfId="0" applyFont="1" applyBorder="1"/>
    <xf numFmtId="9" fontId="0" fillId="0" borderId="0" xfId="0" applyNumberFormat="1" applyBorder="1"/>
    <xf numFmtId="0" fontId="8" fillId="0" borderId="0" xfId="0" applyFont="1"/>
    <xf numFmtId="5" fontId="5" fillId="0" borderId="0" xfId="1" applyNumberFormat="1" applyFont="1" applyAlignment="1">
      <alignment vertical="center"/>
    </xf>
    <xf numFmtId="5" fontId="0" fillId="0" borderId="0" xfId="0" applyNumberFormat="1" applyBorder="1"/>
  </cellXfs>
  <cellStyles count="2">
    <cellStyle name="Comma" xfId="1" builtinId="3"/>
    <cellStyle name="Normal" xfId="0" builtinId="0"/>
  </cellStyles>
  <dxfs count="24">
    <dxf>
      <numFmt numFmtId="13" formatCode="0%"/>
    </dxf>
    <dxf>
      <numFmt numFmtId="13" formatCode="0%"/>
    </dxf>
    <dxf>
      <numFmt numFmtId="9" formatCode="&quot;$&quot;#,##0_);\(&quot;$&quot;#,##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alignment horizontal="left" vertical="bottom" textRotation="0" wrapText="0" indent="0" justifyLastLine="0" shrinkToFit="0" readingOrder="0"/>
    </dxf>
    <dxf>
      <font>
        <b/>
        <i/>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1" indent="0" justifyLastLine="0" shrinkToFit="0" readingOrder="0"/>
    </dxf>
    <dxf>
      <font>
        <color rgb="FF339933"/>
      </font>
    </dxf>
    <dxf>
      <font>
        <color rgb="FFFF0000"/>
      </font>
    </dxf>
    <dxf>
      <font>
        <color rgb="FF339933"/>
      </font>
    </dxf>
    <dxf>
      <font>
        <color rgb="FFFF0000"/>
      </font>
    </dxf>
    <dxf>
      <font>
        <color rgb="FF00B050"/>
      </font>
    </dxf>
    <dxf>
      <font>
        <color rgb="FFFF0000"/>
      </font>
    </dxf>
    <dxf>
      <font>
        <b/>
        <i/>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1" indent="0" justifyLastLine="0" shrinkToFit="0" readingOrder="0"/>
    </dxf>
    <dxf>
      <numFmt numFmtId="13" formatCode="0%"/>
    </dxf>
    <dxf>
      <numFmt numFmtId="13" formatCode="0%"/>
    </dxf>
    <dxf>
      <numFmt numFmtId="9" formatCode="&quot;$&quot;#,##0_);\(&quot;$&quot;#,##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numFmt numFmtId="9" formatCode="&quot;$&quot;#,##0_);\(&quot;$&quot;#,##0\)"/>
      <alignment horizontal="general" vertical="center"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colors>
    <mruColors>
      <color rgb="FFFF0000"/>
      <color rgb="FF33993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Budget Vs Actual Expenses</a:t>
            </a:r>
            <a:r>
              <a:rPr lang="en-US" sz="1100" b="1" i="0" u="none" strike="noStrike" kern="1200" spc="0" baseline="0">
                <a:solidFill>
                  <a:sysClr val="windowText" lastClr="000000">
                    <a:lumMod val="65000"/>
                    <a:lumOff val="35000"/>
                  </a:sysClr>
                </a:solidFill>
              </a:rPr>
              <a:t> </a:t>
            </a:r>
          </a:p>
        </c:rich>
      </c:tx>
      <c:layout>
        <c:manualLayout>
          <c:xMode val="edge"/>
          <c:yMode val="edge"/>
          <c:x val="7.1990394288751192E-4"/>
          <c:y val="3.6298988103204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Dashboard!$D$7</c:f>
              <c:strCache>
                <c:ptCount val="1"/>
                <c:pt idx="0">
                  <c:v>Budget</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Dashboard!$D$8:$D$13</c:f>
              <c:numCache>
                <c:formatCode>"$"#,##0_);\("$"#,##0\)</c:formatCode>
                <c:ptCount val="6"/>
                <c:pt idx="0">
                  <c:v>41215.19</c:v>
                </c:pt>
                <c:pt idx="1">
                  <c:v>32925.71</c:v>
                </c:pt>
                <c:pt idx="2">
                  <c:v>26040.63</c:v>
                </c:pt>
                <c:pt idx="3">
                  <c:v>44332.15</c:v>
                </c:pt>
                <c:pt idx="4">
                  <c:v>100318.84</c:v>
                </c:pt>
                <c:pt idx="5">
                  <c:v>93664.65</c:v>
                </c:pt>
              </c:numCache>
            </c:numRef>
          </c:val>
          <c:extLst>
            <c:ext xmlns:c16="http://schemas.microsoft.com/office/drawing/2014/chart" uri="{C3380CC4-5D6E-409C-BE32-E72D297353CC}">
              <c16:uniqueId val="{00000000-1FC4-4090-BC74-AA43F3E5C165}"/>
            </c:ext>
          </c:extLst>
        </c:ser>
        <c:ser>
          <c:idx val="1"/>
          <c:order val="1"/>
          <c:tx>
            <c:strRef>
              <c:f>Dashboard!$F$7</c:f>
              <c:strCache>
                <c:ptCount val="1"/>
                <c:pt idx="0">
                  <c:v>Actual</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Dashboard!$F$8:$F$13</c:f>
              <c:numCache>
                <c:formatCode>"$"#,##0_);\("$"#,##0\)</c:formatCode>
                <c:ptCount val="6"/>
                <c:pt idx="0">
                  <c:v>37613.910000000003</c:v>
                </c:pt>
                <c:pt idx="1">
                  <c:v>30596.03</c:v>
                </c:pt>
                <c:pt idx="2">
                  <c:v>22752.02</c:v>
                </c:pt>
                <c:pt idx="3">
                  <c:v>38572.49</c:v>
                </c:pt>
                <c:pt idx="4">
                  <c:v>102349.27</c:v>
                </c:pt>
                <c:pt idx="5">
                  <c:v>105900.34</c:v>
                </c:pt>
              </c:numCache>
            </c:numRef>
          </c:val>
          <c:extLst>
            <c:ext xmlns:c16="http://schemas.microsoft.com/office/drawing/2014/chart" uri="{C3380CC4-5D6E-409C-BE32-E72D297353CC}">
              <c16:uniqueId val="{00000001-1FC4-4090-BC74-AA43F3E5C165}"/>
            </c:ext>
          </c:extLst>
        </c:ser>
        <c:dLbls>
          <c:dLblPos val="outEnd"/>
          <c:showLegendKey val="0"/>
          <c:showVal val="1"/>
          <c:showCatName val="0"/>
          <c:showSerName val="0"/>
          <c:showPercent val="0"/>
          <c:showBubbleSize val="0"/>
        </c:dLbls>
        <c:gapWidth val="136"/>
        <c:overlap val="-27"/>
        <c:axId val="1588876367"/>
        <c:axId val="1450847727"/>
      </c:barChart>
      <c:catAx>
        <c:axId val="158887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47727"/>
        <c:crosses val="autoZero"/>
        <c:auto val="1"/>
        <c:lblAlgn val="ctr"/>
        <c:lblOffset val="100"/>
        <c:noMultiLvlLbl val="0"/>
      </c:catAx>
      <c:valAx>
        <c:axId val="1450847727"/>
        <c:scaling>
          <c:orientation val="minMax"/>
        </c:scaling>
        <c:delete val="1"/>
        <c:axPos val="l"/>
        <c:numFmt formatCode="&quot;$&quot;#,##0_);\(&quot;$&quot;#,##0\)" sourceLinked="1"/>
        <c:majorTickMark val="none"/>
        <c:minorTickMark val="none"/>
        <c:tickLblPos val="nextTo"/>
        <c:crossAx val="1588876367"/>
        <c:crosses val="autoZero"/>
        <c:crossBetween val="between"/>
      </c:valAx>
      <c:spPr>
        <a:noFill/>
        <a:ln>
          <a:noFill/>
        </a:ln>
        <a:effectLst/>
      </c:spPr>
    </c:plotArea>
    <c:legend>
      <c:legendPos val="t"/>
      <c:layout>
        <c:manualLayout>
          <c:xMode val="edge"/>
          <c:yMode val="edge"/>
          <c:x val="0.77936241762674474"/>
          <c:y val="4.9253200265543987E-2"/>
          <c:w val="0.1593961049100206"/>
          <c:h val="0.105040229299163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Forecast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681912978259083E-2"/>
          <c:y val="0.19613470851046999"/>
          <c:w val="0.83229843285829097"/>
          <c:h val="0.68119110770601632"/>
        </c:manualLayout>
      </c:layout>
      <c:barChart>
        <c:barDir val="col"/>
        <c:grouping val="clustered"/>
        <c:varyColors val="0"/>
        <c:ser>
          <c:idx val="0"/>
          <c:order val="0"/>
          <c:tx>
            <c:strRef>
              <c:f>Dashboard!$D$7</c:f>
              <c:strCache>
                <c:ptCount val="1"/>
                <c:pt idx="0">
                  <c:v>Budget</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Dashboard!$D$8:$D$13</c:f>
              <c:numCache>
                <c:formatCode>"$"#,##0_);\("$"#,##0\)</c:formatCode>
                <c:ptCount val="6"/>
                <c:pt idx="0">
                  <c:v>41215.19</c:v>
                </c:pt>
                <c:pt idx="1">
                  <c:v>32925.71</c:v>
                </c:pt>
                <c:pt idx="2">
                  <c:v>26040.63</c:v>
                </c:pt>
                <c:pt idx="3">
                  <c:v>44332.15</c:v>
                </c:pt>
                <c:pt idx="4">
                  <c:v>100318.84</c:v>
                </c:pt>
                <c:pt idx="5">
                  <c:v>93664.65</c:v>
                </c:pt>
              </c:numCache>
            </c:numRef>
          </c:val>
          <c:extLst>
            <c:ext xmlns:c16="http://schemas.microsoft.com/office/drawing/2014/chart" uri="{C3380CC4-5D6E-409C-BE32-E72D297353CC}">
              <c16:uniqueId val="{00000000-2019-4A41-BE73-D6FD41038096}"/>
            </c:ext>
          </c:extLst>
        </c:ser>
        <c:ser>
          <c:idx val="1"/>
          <c:order val="1"/>
          <c:tx>
            <c:strRef>
              <c:f>Dashboard!$E$7</c:f>
              <c:strCache>
                <c:ptCount val="1"/>
                <c:pt idx="0">
                  <c:v>Forecast</c:v>
                </c:pt>
              </c:strCache>
            </c:strRef>
          </c:tx>
          <c:spPr>
            <a:solidFill>
              <a:schemeClr val="accent5"/>
            </a:solidFill>
            <a:ln>
              <a:noFill/>
              <a:prstDash val="dash"/>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Dashboard!$E$8:$E$13</c:f>
              <c:numCache>
                <c:formatCode>"$"#,##0_);\("$"#,##0\)</c:formatCode>
                <c:ptCount val="6"/>
                <c:pt idx="0">
                  <c:v>39758.93</c:v>
                </c:pt>
                <c:pt idx="1">
                  <c:v>30364.35</c:v>
                </c:pt>
                <c:pt idx="2">
                  <c:v>24585.53</c:v>
                </c:pt>
                <c:pt idx="3">
                  <c:v>41613.82</c:v>
                </c:pt>
                <c:pt idx="4">
                  <c:v>99411.77</c:v>
                </c:pt>
                <c:pt idx="5">
                  <c:v>99038.18</c:v>
                </c:pt>
              </c:numCache>
            </c:numRef>
          </c:val>
          <c:extLst>
            <c:ext xmlns:c16="http://schemas.microsoft.com/office/drawing/2014/chart" uri="{C3380CC4-5D6E-409C-BE32-E72D297353CC}">
              <c16:uniqueId val="{00000001-2019-4A41-BE73-D6FD41038096}"/>
            </c:ext>
          </c:extLst>
        </c:ser>
        <c:ser>
          <c:idx val="2"/>
          <c:order val="2"/>
          <c:tx>
            <c:strRef>
              <c:f>Dashboard!$F$7</c:f>
              <c:strCache>
                <c:ptCount val="1"/>
                <c:pt idx="0">
                  <c:v>Actual</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Dashboard!$F$8:$F$13</c:f>
              <c:numCache>
                <c:formatCode>"$"#,##0_);\("$"#,##0\)</c:formatCode>
                <c:ptCount val="6"/>
                <c:pt idx="0">
                  <c:v>37613.910000000003</c:v>
                </c:pt>
                <c:pt idx="1">
                  <c:v>30596.03</c:v>
                </c:pt>
                <c:pt idx="2">
                  <c:v>22752.02</c:v>
                </c:pt>
                <c:pt idx="3">
                  <c:v>38572.49</c:v>
                </c:pt>
                <c:pt idx="4">
                  <c:v>102349.27</c:v>
                </c:pt>
                <c:pt idx="5">
                  <c:v>105900.34</c:v>
                </c:pt>
              </c:numCache>
            </c:numRef>
          </c:val>
          <c:extLst>
            <c:ext xmlns:c16="http://schemas.microsoft.com/office/drawing/2014/chart" uri="{C3380CC4-5D6E-409C-BE32-E72D297353CC}">
              <c16:uniqueId val="{00000002-2019-4A41-BE73-D6FD41038096}"/>
            </c:ext>
          </c:extLst>
        </c:ser>
        <c:dLbls>
          <c:dLblPos val="outEnd"/>
          <c:showLegendKey val="0"/>
          <c:showVal val="1"/>
          <c:showCatName val="0"/>
          <c:showSerName val="0"/>
          <c:showPercent val="0"/>
          <c:showBubbleSize val="0"/>
        </c:dLbls>
        <c:gapWidth val="219"/>
        <c:overlap val="-27"/>
        <c:axId val="1861170799"/>
        <c:axId val="1450817487"/>
      </c:barChart>
      <c:catAx>
        <c:axId val="18611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17487"/>
        <c:crosses val="autoZero"/>
        <c:auto val="1"/>
        <c:lblAlgn val="ctr"/>
        <c:lblOffset val="100"/>
        <c:noMultiLvlLbl val="0"/>
      </c:catAx>
      <c:valAx>
        <c:axId val="1450817487"/>
        <c:scaling>
          <c:orientation val="minMax"/>
        </c:scaling>
        <c:delete val="1"/>
        <c:axPos val="l"/>
        <c:numFmt formatCode="&quot;$&quot;#,##0_);\(&quot;$&quot;#,##0\)" sourceLinked="1"/>
        <c:majorTickMark val="none"/>
        <c:minorTickMark val="none"/>
        <c:tickLblPos val="nextTo"/>
        <c:crossAx val="186117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200" b="1" i="0" u="none" strike="noStrike" baseline="0"/>
              <a:t>Δ </a:t>
            </a:r>
          </a:p>
          <a:p>
            <a:pPr>
              <a:defRPr sz="900"/>
            </a:pPr>
            <a:r>
              <a:rPr lang="en-US" sz="900" baseline="0"/>
              <a:t>(</a:t>
            </a:r>
            <a:r>
              <a:rPr lang="en-US" sz="900"/>
              <a:t>Budget-Actual)%</a:t>
            </a:r>
          </a:p>
        </c:rich>
      </c:tx>
      <c:layout>
        <c:manualLayout>
          <c:xMode val="edge"/>
          <c:yMode val="edge"/>
          <c:x val="3.3631555467325747E-4"/>
          <c:y val="0.3695011249903018"/>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88531657210654"/>
          <c:y val="1.8123150416190992E-2"/>
          <c:w val="0.85411472159106583"/>
          <c:h val="0.72269221928783522"/>
        </c:manualLayout>
      </c:layout>
      <c:barChart>
        <c:barDir val="col"/>
        <c:grouping val="clustered"/>
        <c:varyColors val="0"/>
        <c:ser>
          <c:idx val="0"/>
          <c:order val="0"/>
          <c:tx>
            <c:strRef>
              <c:f>Dashboard!$I$7</c:f>
              <c:strCache>
                <c:ptCount val="1"/>
                <c:pt idx="0">
                  <c:v>Variance (Budget-Actual)%</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Dashboard!$I$8:$I$13</c:f>
              <c:numCache>
                <c:formatCode>0%</c:formatCode>
                <c:ptCount val="6"/>
                <c:pt idx="0">
                  <c:v>9.5743303474698616E-2</c:v>
                </c:pt>
                <c:pt idx="1">
                  <c:v>7.6143212044176956E-2</c:v>
                </c:pt>
                <c:pt idx="2">
                  <c:v>0.1445414517040684</c:v>
                </c:pt>
                <c:pt idx="3">
                  <c:v>0.14932040944206615</c:v>
                </c:pt>
                <c:pt idx="4">
                  <c:v>-1.9838246037319096E-2</c:v>
                </c:pt>
                <c:pt idx="5">
                  <c:v>-0.11553966682259942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0-A5FF-4343-B68F-6925CFB2C3B2}"/>
            </c:ext>
          </c:extLst>
        </c:ser>
        <c:dLbls>
          <c:dLblPos val="outEnd"/>
          <c:showLegendKey val="0"/>
          <c:showVal val="1"/>
          <c:showCatName val="0"/>
          <c:showSerName val="0"/>
          <c:showPercent val="0"/>
          <c:showBubbleSize val="0"/>
        </c:dLbls>
        <c:gapWidth val="219"/>
        <c:overlap val="-27"/>
        <c:axId val="1569083679"/>
        <c:axId val="1450815567"/>
      </c:barChart>
      <c:catAx>
        <c:axId val="1569083679"/>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15567"/>
        <c:crosses val="autoZero"/>
        <c:auto val="1"/>
        <c:lblAlgn val="ctr"/>
        <c:lblOffset val="100"/>
        <c:noMultiLvlLbl val="0"/>
      </c:catAx>
      <c:valAx>
        <c:axId val="1450815567"/>
        <c:scaling>
          <c:orientation val="minMax"/>
        </c:scaling>
        <c:delete val="1"/>
        <c:axPos val="l"/>
        <c:numFmt formatCode="0%" sourceLinked="1"/>
        <c:majorTickMark val="none"/>
        <c:minorTickMark val="none"/>
        <c:tickLblPos val="nextTo"/>
        <c:crossAx val="156908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Forecast</a:t>
            </a:r>
            <a:r>
              <a:rPr lang="en-US" b="1" baseline="0"/>
              <a:t> Vs Actual Expenses</a:t>
            </a:r>
            <a:endParaRPr lang="en-US" b="1"/>
          </a:p>
        </c:rich>
      </c:tx>
      <c:layout>
        <c:manualLayout>
          <c:xMode val="edge"/>
          <c:yMode val="edge"/>
          <c:x val="2.4655848519728629E-2"/>
          <c:y val="3.6814429599960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Dashboard!$E$7</c:f>
              <c:strCache>
                <c:ptCount val="1"/>
                <c:pt idx="0">
                  <c:v>Forecast</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Dashboard!$E$8:$E$13</c:f>
              <c:numCache>
                <c:formatCode>"$"#,##0_);\("$"#,##0\)</c:formatCode>
                <c:ptCount val="6"/>
                <c:pt idx="0">
                  <c:v>39758.93</c:v>
                </c:pt>
                <c:pt idx="1">
                  <c:v>30364.35</c:v>
                </c:pt>
                <c:pt idx="2">
                  <c:v>24585.53</c:v>
                </c:pt>
                <c:pt idx="3">
                  <c:v>41613.82</c:v>
                </c:pt>
                <c:pt idx="4">
                  <c:v>99411.77</c:v>
                </c:pt>
                <c:pt idx="5">
                  <c:v>99038.18</c:v>
                </c:pt>
              </c:numCache>
            </c:numRef>
          </c:val>
          <c:extLst>
            <c:ext xmlns:c16="http://schemas.microsoft.com/office/drawing/2014/chart" uri="{C3380CC4-5D6E-409C-BE32-E72D297353CC}">
              <c16:uniqueId val="{00000000-F1ED-4260-A5EE-430DC0D49B78}"/>
            </c:ext>
          </c:extLst>
        </c:ser>
        <c:ser>
          <c:idx val="1"/>
          <c:order val="1"/>
          <c:tx>
            <c:strRef>
              <c:f>Dashboard!$F$7</c:f>
              <c:strCache>
                <c:ptCount val="1"/>
                <c:pt idx="0">
                  <c:v>Actual</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Dashboard!$F$8:$F$13</c:f>
              <c:numCache>
                <c:formatCode>"$"#,##0_);\("$"#,##0\)</c:formatCode>
                <c:ptCount val="6"/>
                <c:pt idx="0">
                  <c:v>37613.910000000003</c:v>
                </c:pt>
                <c:pt idx="1">
                  <c:v>30596.03</c:v>
                </c:pt>
                <c:pt idx="2">
                  <c:v>22752.02</c:v>
                </c:pt>
                <c:pt idx="3">
                  <c:v>38572.49</c:v>
                </c:pt>
                <c:pt idx="4">
                  <c:v>102349.27</c:v>
                </c:pt>
                <c:pt idx="5">
                  <c:v>105900.34</c:v>
                </c:pt>
              </c:numCache>
            </c:numRef>
          </c:val>
          <c:extLst>
            <c:ext xmlns:c16="http://schemas.microsoft.com/office/drawing/2014/chart" uri="{C3380CC4-5D6E-409C-BE32-E72D297353CC}">
              <c16:uniqueId val="{00000001-F1ED-4260-A5EE-430DC0D49B78}"/>
            </c:ext>
          </c:extLst>
        </c:ser>
        <c:dLbls>
          <c:dLblPos val="outEnd"/>
          <c:showLegendKey val="0"/>
          <c:showVal val="1"/>
          <c:showCatName val="0"/>
          <c:showSerName val="0"/>
          <c:showPercent val="0"/>
          <c:showBubbleSize val="0"/>
        </c:dLbls>
        <c:gapWidth val="160"/>
        <c:overlap val="-27"/>
        <c:axId val="1569102703"/>
        <c:axId val="1404668271"/>
      </c:barChart>
      <c:catAx>
        <c:axId val="15691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68271"/>
        <c:crosses val="autoZero"/>
        <c:auto val="1"/>
        <c:lblAlgn val="ctr"/>
        <c:lblOffset val="100"/>
        <c:noMultiLvlLbl val="0"/>
      </c:catAx>
      <c:valAx>
        <c:axId val="1404668271"/>
        <c:scaling>
          <c:orientation val="minMax"/>
        </c:scaling>
        <c:delete val="1"/>
        <c:axPos val="l"/>
        <c:numFmt formatCode="&quot;$&quot;#,##0_);\(&quot;$&quot;#,##0\)" sourceLinked="1"/>
        <c:majorTickMark val="none"/>
        <c:minorTickMark val="none"/>
        <c:tickLblPos val="nextTo"/>
        <c:crossAx val="1569102703"/>
        <c:crosses val="autoZero"/>
        <c:crossBetween val="between"/>
      </c:valAx>
      <c:spPr>
        <a:noFill/>
        <a:ln>
          <a:noFill/>
        </a:ln>
        <a:effectLst/>
      </c:spPr>
    </c:plotArea>
    <c:legend>
      <c:legendPos val="t"/>
      <c:layout>
        <c:manualLayout>
          <c:xMode val="edge"/>
          <c:yMode val="edge"/>
          <c:x val="0.76577427821522315"/>
          <c:y val="5.5808989148146602E-2"/>
          <c:w val="0.16703678275608791"/>
          <c:h val="0.103286842029167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200" b="1" i="0" u="none" strike="noStrike" baseline="0"/>
              <a:t>Δ </a:t>
            </a:r>
          </a:p>
          <a:p>
            <a:pPr>
              <a:defRPr sz="900"/>
            </a:pPr>
            <a:r>
              <a:rPr lang="en-US" sz="900"/>
              <a:t>Variance (Forecast-Actual) %</a:t>
            </a:r>
          </a:p>
        </c:rich>
      </c:tx>
      <c:layout>
        <c:manualLayout>
          <c:xMode val="edge"/>
          <c:yMode val="edge"/>
          <c:x val="8.0167226022813676E-3"/>
          <c:y val="0.55528873260252909"/>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78438146321507"/>
          <c:y val="6.73161460291927E-4"/>
          <c:w val="0.80866244434848267"/>
          <c:h val="0.76640176566607143"/>
        </c:manualLayout>
      </c:layout>
      <c:barChart>
        <c:barDir val="col"/>
        <c:grouping val="clustered"/>
        <c:varyColors val="0"/>
        <c:ser>
          <c:idx val="0"/>
          <c:order val="0"/>
          <c:tx>
            <c:strRef>
              <c:f>Dashboard!$J$7</c:f>
              <c:strCache>
                <c:ptCount val="1"/>
                <c:pt idx="0">
                  <c:v>Variance (Forecast-Actual) %</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Dashboard!$J$8:$J$13</c:f>
              <c:numCache>
                <c:formatCode>0%</c:formatCode>
                <c:ptCount val="6"/>
                <c:pt idx="0">
                  <c:v>5.702730718502802E-2</c:v>
                </c:pt>
                <c:pt idx="1">
                  <c:v>-7.5722242395500627E-3</c:v>
                </c:pt>
                <c:pt idx="2">
                  <c:v>8.0586690764160585E-2</c:v>
                </c:pt>
                <c:pt idx="3">
                  <c:v>7.8847126540184442E-2</c:v>
                </c:pt>
                <c:pt idx="4">
                  <c:v>-2.8700742076616659E-2</c:v>
                </c:pt>
                <c:pt idx="5">
                  <c:v>-6.4798281100891697E-2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0-DAD2-4F16-AA73-9DE3F210FFED}"/>
            </c:ext>
          </c:extLst>
        </c:ser>
        <c:dLbls>
          <c:showLegendKey val="0"/>
          <c:showVal val="0"/>
          <c:showCatName val="0"/>
          <c:showSerName val="0"/>
          <c:showPercent val="0"/>
          <c:showBubbleSize val="0"/>
        </c:dLbls>
        <c:gapWidth val="322"/>
        <c:overlap val="-27"/>
        <c:axId val="1569096671"/>
        <c:axId val="1178773583"/>
      </c:barChart>
      <c:catAx>
        <c:axId val="1569096671"/>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73583"/>
        <c:crosses val="autoZero"/>
        <c:auto val="1"/>
        <c:lblAlgn val="ctr"/>
        <c:lblOffset val="100"/>
        <c:noMultiLvlLbl val="0"/>
      </c:catAx>
      <c:valAx>
        <c:axId val="1178773583"/>
        <c:scaling>
          <c:orientation val="minMax"/>
        </c:scaling>
        <c:delete val="1"/>
        <c:axPos val="l"/>
        <c:numFmt formatCode="0%" sourceLinked="1"/>
        <c:majorTickMark val="none"/>
        <c:minorTickMark val="none"/>
        <c:tickLblPos val="nextTo"/>
        <c:crossAx val="15690966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Δ %</a:t>
            </a:r>
            <a:endParaRPr lang="en-US" sz="1400" b="1"/>
          </a:p>
        </c:rich>
      </c:tx>
      <c:layout>
        <c:manualLayout>
          <c:xMode val="edge"/>
          <c:yMode val="edge"/>
          <c:x val="1.9722717477427206E-2"/>
          <c:y val="0.347927404275404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320760809602951E-2"/>
          <c:y val="1.7144856427547032E-2"/>
          <c:w val="0.88283017866993796"/>
          <c:h val="0.70252157423865091"/>
        </c:manualLayout>
      </c:layout>
      <c:barChart>
        <c:barDir val="col"/>
        <c:grouping val="clustered"/>
        <c:varyColors val="0"/>
        <c:ser>
          <c:idx val="0"/>
          <c:order val="0"/>
          <c:tx>
            <c:strRef>
              <c:f>Dashboard!$I$7</c:f>
              <c:strCache>
                <c:ptCount val="1"/>
                <c:pt idx="0">
                  <c:v>Variance (Budget-Actual)%</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Dashboard!$I$8:$I$13</c:f>
              <c:numCache>
                <c:formatCode>0%</c:formatCode>
                <c:ptCount val="6"/>
                <c:pt idx="0">
                  <c:v>9.5743303474698616E-2</c:v>
                </c:pt>
                <c:pt idx="1">
                  <c:v>7.6143212044176956E-2</c:v>
                </c:pt>
                <c:pt idx="2">
                  <c:v>0.1445414517040684</c:v>
                </c:pt>
                <c:pt idx="3">
                  <c:v>0.14932040944206615</c:v>
                </c:pt>
                <c:pt idx="4">
                  <c:v>-1.9838246037319096E-2</c:v>
                </c:pt>
                <c:pt idx="5">
                  <c:v>-0.11553966682259942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0-2D6E-401D-9676-020234418B9B}"/>
            </c:ext>
          </c:extLst>
        </c:ser>
        <c:ser>
          <c:idx val="1"/>
          <c:order val="1"/>
          <c:tx>
            <c:strRef>
              <c:f>Dashboard!$J$7</c:f>
              <c:strCache>
                <c:ptCount val="1"/>
                <c:pt idx="0">
                  <c:v>Variance (Forecast-Actual) %</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Dashboard!$C$8:$C$13</c:f>
              <c:strCache>
                <c:ptCount val="6"/>
                <c:pt idx="0">
                  <c:v>Finance</c:v>
                </c:pt>
                <c:pt idx="1">
                  <c:v>HR</c:v>
                </c:pt>
                <c:pt idx="2">
                  <c:v>IT</c:v>
                </c:pt>
                <c:pt idx="3">
                  <c:v>Marketing</c:v>
                </c:pt>
                <c:pt idx="4">
                  <c:v>Operations</c:v>
                </c:pt>
                <c:pt idx="5">
                  <c:v>Sales</c:v>
                </c:pt>
              </c:strCache>
            </c:strRef>
          </c:cat>
          <c:val>
            <c:numRef>
              <c:f>Dashboard!$J$8:$J$13</c:f>
              <c:numCache>
                <c:formatCode>0%</c:formatCode>
                <c:ptCount val="6"/>
                <c:pt idx="0">
                  <c:v>5.702730718502802E-2</c:v>
                </c:pt>
                <c:pt idx="1">
                  <c:v>-7.5722242395500627E-3</c:v>
                </c:pt>
                <c:pt idx="2">
                  <c:v>8.0586690764160585E-2</c:v>
                </c:pt>
                <c:pt idx="3">
                  <c:v>7.8847126540184442E-2</c:v>
                </c:pt>
                <c:pt idx="4">
                  <c:v>-2.8700742076616659E-2</c:v>
                </c:pt>
                <c:pt idx="5">
                  <c:v>-6.4798281100891697E-2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1-2D6E-401D-9676-020234418B9B}"/>
            </c:ext>
          </c:extLst>
        </c:ser>
        <c:dLbls>
          <c:showLegendKey val="0"/>
          <c:showVal val="0"/>
          <c:showCatName val="0"/>
          <c:showSerName val="0"/>
          <c:showPercent val="0"/>
          <c:showBubbleSize val="0"/>
        </c:dLbls>
        <c:gapWidth val="248"/>
        <c:overlap val="-27"/>
        <c:axId val="1861149919"/>
        <c:axId val="1404672111"/>
      </c:barChart>
      <c:catAx>
        <c:axId val="1861149919"/>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72111"/>
        <c:crosses val="autoZero"/>
        <c:auto val="1"/>
        <c:lblAlgn val="ctr"/>
        <c:lblOffset val="100"/>
        <c:noMultiLvlLbl val="0"/>
      </c:catAx>
      <c:valAx>
        <c:axId val="1404672111"/>
        <c:scaling>
          <c:orientation val="minMax"/>
        </c:scaling>
        <c:delete val="1"/>
        <c:axPos val="l"/>
        <c:numFmt formatCode="0%" sourceLinked="1"/>
        <c:majorTickMark val="none"/>
        <c:minorTickMark val="none"/>
        <c:tickLblPos val="nextTo"/>
        <c:crossAx val="1861149919"/>
        <c:crosses val="autoZero"/>
        <c:crossBetween val="between"/>
      </c:valAx>
      <c:spPr>
        <a:noFill/>
        <a:ln>
          <a:noFill/>
        </a:ln>
        <a:effectLst/>
      </c:spPr>
    </c:plotArea>
    <c:legend>
      <c:legendPos val="b"/>
      <c:layout>
        <c:manualLayout>
          <c:xMode val="edge"/>
          <c:yMode val="edge"/>
          <c:x val="0.29298582580104732"/>
          <c:y val="0.7070907413550388"/>
          <c:w val="0.33192488267504905"/>
          <c:h val="0.12085644004885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Budget Vs Actual Expenses</a:t>
            </a:r>
            <a:r>
              <a:rPr lang="en-US" sz="1100" b="1" i="0" u="none" strike="noStrike" kern="1200" spc="0" baseline="0">
                <a:solidFill>
                  <a:sysClr val="windowText" lastClr="000000">
                    <a:lumMod val="65000"/>
                    <a:lumOff val="35000"/>
                  </a:sysClr>
                </a:solidFill>
              </a:rPr>
              <a:t> </a:t>
            </a:r>
          </a:p>
        </c:rich>
      </c:tx>
      <c:layout>
        <c:manualLayout>
          <c:xMode val="edge"/>
          <c:yMode val="edge"/>
          <c:x val="7.1990394288751192E-4"/>
          <c:y val="3.6298988103204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(2)'!$D$7</c:f>
              <c:strCache>
                <c:ptCount val="1"/>
                <c:pt idx="0">
                  <c:v>Budget</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(2)'!$D$8:$D$13</c:f>
              <c:numCache>
                <c:formatCode>"$"#,##0_);\("$"#,##0\)</c:formatCode>
                <c:ptCount val="6"/>
                <c:pt idx="0">
                  <c:v>79918.89</c:v>
                </c:pt>
                <c:pt idx="1">
                  <c:v>75074.820000000007</c:v>
                </c:pt>
                <c:pt idx="2">
                  <c:v>125902.24</c:v>
                </c:pt>
                <c:pt idx="3">
                  <c:v>112743.3</c:v>
                </c:pt>
                <c:pt idx="4">
                  <c:v>51361.43</c:v>
                </c:pt>
                <c:pt idx="5">
                  <c:v>115140.75</c:v>
                </c:pt>
              </c:numCache>
            </c:numRef>
          </c:val>
          <c:extLst>
            <c:ext xmlns:c16="http://schemas.microsoft.com/office/drawing/2014/chart" uri="{C3380CC4-5D6E-409C-BE32-E72D297353CC}">
              <c16:uniqueId val="{00000000-FFEF-45FA-8F1B-D9728F67E468}"/>
            </c:ext>
          </c:extLst>
        </c:ser>
        <c:ser>
          <c:idx val="1"/>
          <c:order val="1"/>
          <c:tx>
            <c:strRef>
              <c:f>'Dashboard (2)'!$F$7</c:f>
              <c:strCache>
                <c:ptCount val="1"/>
                <c:pt idx="0">
                  <c:v>Actual</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(2)'!$F$8:$F$13</c:f>
              <c:numCache>
                <c:formatCode>"$"#,##0_);\("$"#,##0\)</c:formatCode>
                <c:ptCount val="6"/>
                <c:pt idx="0">
                  <c:v>86720.13</c:v>
                </c:pt>
                <c:pt idx="1">
                  <c:v>68953.81</c:v>
                </c:pt>
                <c:pt idx="2">
                  <c:v>119490.08</c:v>
                </c:pt>
                <c:pt idx="3">
                  <c:v>125960.5</c:v>
                </c:pt>
                <c:pt idx="4">
                  <c:v>50515.69</c:v>
                </c:pt>
                <c:pt idx="5">
                  <c:v>124609.39</c:v>
                </c:pt>
              </c:numCache>
            </c:numRef>
          </c:val>
          <c:extLst>
            <c:ext xmlns:c16="http://schemas.microsoft.com/office/drawing/2014/chart" uri="{C3380CC4-5D6E-409C-BE32-E72D297353CC}">
              <c16:uniqueId val="{00000001-FFEF-45FA-8F1B-D9728F67E468}"/>
            </c:ext>
          </c:extLst>
        </c:ser>
        <c:dLbls>
          <c:dLblPos val="outEnd"/>
          <c:showLegendKey val="0"/>
          <c:showVal val="1"/>
          <c:showCatName val="0"/>
          <c:showSerName val="0"/>
          <c:showPercent val="0"/>
          <c:showBubbleSize val="0"/>
        </c:dLbls>
        <c:gapWidth val="136"/>
        <c:overlap val="-27"/>
        <c:axId val="1588876367"/>
        <c:axId val="1450847727"/>
      </c:barChart>
      <c:catAx>
        <c:axId val="158887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47727"/>
        <c:crosses val="autoZero"/>
        <c:auto val="1"/>
        <c:lblAlgn val="ctr"/>
        <c:lblOffset val="100"/>
        <c:noMultiLvlLbl val="0"/>
      </c:catAx>
      <c:valAx>
        <c:axId val="1450847727"/>
        <c:scaling>
          <c:orientation val="minMax"/>
        </c:scaling>
        <c:delete val="1"/>
        <c:axPos val="l"/>
        <c:numFmt formatCode="&quot;$&quot;#,##0_);\(&quot;$&quot;#,##0\)" sourceLinked="1"/>
        <c:majorTickMark val="none"/>
        <c:minorTickMark val="none"/>
        <c:tickLblPos val="nextTo"/>
        <c:crossAx val="1588876367"/>
        <c:crosses val="autoZero"/>
        <c:crossBetween val="between"/>
      </c:valAx>
      <c:spPr>
        <a:noFill/>
        <a:ln>
          <a:noFill/>
        </a:ln>
        <a:effectLst/>
      </c:spPr>
    </c:plotArea>
    <c:legend>
      <c:legendPos val="t"/>
      <c:layout>
        <c:manualLayout>
          <c:xMode val="edge"/>
          <c:yMode val="edge"/>
          <c:x val="0.77936241762674474"/>
          <c:y val="4.9253200265543987E-2"/>
          <c:w val="0.1593961049100206"/>
          <c:h val="0.105040229299163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Forecast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681912978259083E-2"/>
          <c:y val="0.19613470851046999"/>
          <c:w val="0.83229843285829097"/>
          <c:h val="0.68119110770601632"/>
        </c:manualLayout>
      </c:layout>
      <c:barChart>
        <c:barDir val="col"/>
        <c:grouping val="clustered"/>
        <c:varyColors val="0"/>
        <c:ser>
          <c:idx val="0"/>
          <c:order val="0"/>
          <c:tx>
            <c:strRef>
              <c:f>'Dashboard (2)'!$D$7</c:f>
              <c:strCache>
                <c:ptCount val="1"/>
                <c:pt idx="0">
                  <c:v>Budget</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(2)'!$D$8:$D$13</c:f>
              <c:numCache>
                <c:formatCode>"$"#,##0_);\("$"#,##0\)</c:formatCode>
                <c:ptCount val="6"/>
                <c:pt idx="0">
                  <c:v>79918.89</c:v>
                </c:pt>
                <c:pt idx="1">
                  <c:v>75074.820000000007</c:v>
                </c:pt>
                <c:pt idx="2">
                  <c:v>125902.24</c:v>
                </c:pt>
                <c:pt idx="3">
                  <c:v>112743.3</c:v>
                </c:pt>
                <c:pt idx="4">
                  <c:v>51361.43</c:v>
                </c:pt>
                <c:pt idx="5">
                  <c:v>115140.75</c:v>
                </c:pt>
              </c:numCache>
            </c:numRef>
          </c:val>
          <c:extLst>
            <c:ext xmlns:c16="http://schemas.microsoft.com/office/drawing/2014/chart" uri="{C3380CC4-5D6E-409C-BE32-E72D297353CC}">
              <c16:uniqueId val="{00000000-2C6C-4675-8A6D-640A40AECD2B}"/>
            </c:ext>
          </c:extLst>
        </c:ser>
        <c:ser>
          <c:idx val="1"/>
          <c:order val="1"/>
          <c:tx>
            <c:strRef>
              <c:f>'Dashboard (2)'!$E$7</c:f>
              <c:strCache>
                <c:ptCount val="1"/>
                <c:pt idx="0">
                  <c:v>Forecast</c:v>
                </c:pt>
              </c:strCache>
            </c:strRef>
          </c:tx>
          <c:spPr>
            <a:solidFill>
              <a:schemeClr val="accent5"/>
            </a:solidFill>
            <a:ln>
              <a:noFill/>
              <a:prstDash val="dash"/>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(2)'!$E$8:$E$13</c:f>
              <c:numCache>
                <c:formatCode>"$"#,##0_);\("$"#,##0\)</c:formatCode>
                <c:ptCount val="6"/>
                <c:pt idx="0">
                  <c:v>84614.59</c:v>
                </c:pt>
                <c:pt idx="1">
                  <c:v>68249.88</c:v>
                </c:pt>
                <c:pt idx="2">
                  <c:v>121557.94</c:v>
                </c:pt>
                <c:pt idx="3">
                  <c:v>119526.72</c:v>
                </c:pt>
                <c:pt idx="4">
                  <c:v>49600.67</c:v>
                </c:pt>
                <c:pt idx="5">
                  <c:v>115151.74</c:v>
                </c:pt>
              </c:numCache>
            </c:numRef>
          </c:val>
          <c:extLst>
            <c:ext xmlns:c16="http://schemas.microsoft.com/office/drawing/2014/chart" uri="{C3380CC4-5D6E-409C-BE32-E72D297353CC}">
              <c16:uniqueId val="{00000001-2C6C-4675-8A6D-640A40AECD2B}"/>
            </c:ext>
          </c:extLst>
        </c:ser>
        <c:ser>
          <c:idx val="2"/>
          <c:order val="2"/>
          <c:tx>
            <c:strRef>
              <c:f>'Dashboard (2)'!$F$7</c:f>
              <c:strCache>
                <c:ptCount val="1"/>
                <c:pt idx="0">
                  <c:v>Actual</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(2)'!$F$8:$F$13</c:f>
              <c:numCache>
                <c:formatCode>"$"#,##0_);\("$"#,##0\)</c:formatCode>
                <c:ptCount val="6"/>
                <c:pt idx="0">
                  <c:v>86720.13</c:v>
                </c:pt>
                <c:pt idx="1">
                  <c:v>68953.81</c:v>
                </c:pt>
                <c:pt idx="2">
                  <c:v>119490.08</c:v>
                </c:pt>
                <c:pt idx="3">
                  <c:v>125960.5</c:v>
                </c:pt>
                <c:pt idx="4">
                  <c:v>50515.69</c:v>
                </c:pt>
                <c:pt idx="5">
                  <c:v>124609.39</c:v>
                </c:pt>
              </c:numCache>
            </c:numRef>
          </c:val>
          <c:extLst>
            <c:ext xmlns:c16="http://schemas.microsoft.com/office/drawing/2014/chart" uri="{C3380CC4-5D6E-409C-BE32-E72D297353CC}">
              <c16:uniqueId val="{00000002-2C6C-4675-8A6D-640A40AECD2B}"/>
            </c:ext>
          </c:extLst>
        </c:ser>
        <c:dLbls>
          <c:dLblPos val="outEnd"/>
          <c:showLegendKey val="0"/>
          <c:showVal val="1"/>
          <c:showCatName val="0"/>
          <c:showSerName val="0"/>
          <c:showPercent val="0"/>
          <c:showBubbleSize val="0"/>
        </c:dLbls>
        <c:gapWidth val="219"/>
        <c:overlap val="-27"/>
        <c:axId val="1861170799"/>
        <c:axId val="1450817487"/>
      </c:barChart>
      <c:catAx>
        <c:axId val="18611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17487"/>
        <c:crosses val="autoZero"/>
        <c:auto val="1"/>
        <c:lblAlgn val="ctr"/>
        <c:lblOffset val="100"/>
        <c:noMultiLvlLbl val="0"/>
      </c:catAx>
      <c:valAx>
        <c:axId val="1450817487"/>
        <c:scaling>
          <c:orientation val="minMax"/>
        </c:scaling>
        <c:delete val="1"/>
        <c:axPos val="l"/>
        <c:numFmt formatCode="&quot;$&quot;#,##0_);\(&quot;$&quot;#,##0\)" sourceLinked="1"/>
        <c:majorTickMark val="none"/>
        <c:minorTickMark val="none"/>
        <c:tickLblPos val="nextTo"/>
        <c:crossAx val="186117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200" b="1" i="0" u="none" strike="noStrike" baseline="0"/>
              <a:t>Δ </a:t>
            </a:r>
          </a:p>
          <a:p>
            <a:pPr>
              <a:defRPr sz="900"/>
            </a:pPr>
            <a:r>
              <a:rPr lang="en-US" sz="900" baseline="0"/>
              <a:t>(</a:t>
            </a:r>
            <a:r>
              <a:rPr lang="en-US" sz="900"/>
              <a:t>Budget-Actual)%</a:t>
            </a:r>
          </a:p>
        </c:rich>
      </c:tx>
      <c:layout>
        <c:manualLayout>
          <c:xMode val="edge"/>
          <c:yMode val="edge"/>
          <c:x val="3.3631555467325747E-4"/>
          <c:y val="0.3695011249903018"/>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588531657210654"/>
          <c:y val="1.8123150416190992E-2"/>
          <c:w val="0.85411472159106583"/>
          <c:h val="0.72269221928783522"/>
        </c:manualLayout>
      </c:layout>
      <c:barChart>
        <c:barDir val="col"/>
        <c:grouping val="clustered"/>
        <c:varyColors val="0"/>
        <c:ser>
          <c:idx val="0"/>
          <c:order val="0"/>
          <c:tx>
            <c:strRef>
              <c:f>'Dashboard (2)'!$I$7</c:f>
              <c:strCache>
                <c:ptCount val="1"/>
                <c:pt idx="0">
                  <c:v>Variance (Budget-Actual)%</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(2)'!$I$8:$I$13</c:f>
              <c:numCache>
                <c:formatCode>0%</c:formatCode>
                <c:ptCount val="6"/>
                <c:pt idx="0">
                  <c:v>-7.8427465456982204E-2</c:v>
                </c:pt>
                <c:pt idx="1">
                  <c:v>8.8769714102817643E-2</c:v>
                </c:pt>
                <c:pt idx="2">
                  <c:v>5.3662697355295164E-2</c:v>
                </c:pt>
                <c:pt idx="3">
                  <c:v>-0.10493130783062943</c:v>
                </c:pt>
                <c:pt idx="4">
                  <c:v>1.6742125070448477E-2</c:v>
                </c:pt>
                <c:pt idx="5">
                  <c:v>-7.5986568909453767E-2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0-01C7-4E5C-B200-5D96E13AA552}"/>
            </c:ext>
          </c:extLst>
        </c:ser>
        <c:dLbls>
          <c:dLblPos val="outEnd"/>
          <c:showLegendKey val="0"/>
          <c:showVal val="1"/>
          <c:showCatName val="0"/>
          <c:showSerName val="0"/>
          <c:showPercent val="0"/>
          <c:showBubbleSize val="0"/>
        </c:dLbls>
        <c:gapWidth val="219"/>
        <c:overlap val="-27"/>
        <c:axId val="1569083679"/>
        <c:axId val="1450815567"/>
      </c:barChart>
      <c:catAx>
        <c:axId val="1569083679"/>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815567"/>
        <c:crosses val="autoZero"/>
        <c:auto val="1"/>
        <c:lblAlgn val="ctr"/>
        <c:lblOffset val="100"/>
        <c:noMultiLvlLbl val="0"/>
      </c:catAx>
      <c:valAx>
        <c:axId val="1450815567"/>
        <c:scaling>
          <c:orientation val="minMax"/>
        </c:scaling>
        <c:delete val="1"/>
        <c:axPos val="l"/>
        <c:numFmt formatCode="0%" sourceLinked="1"/>
        <c:majorTickMark val="none"/>
        <c:minorTickMark val="none"/>
        <c:tickLblPos val="nextTo"/>
        <c:crossAx val="156908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Forecast</a:t>
            </a:r>
            <a:r>
              <a:rPr lang="en-US" b="1" baseline="0"/>
              <a:t> Vs Actual Expenses</a:t>
            </a:r>
            <a:endParaRPr lang="en-US" b="1"/>
          </a:p>
        </c:rich>
      </c:tx>
      <c:layout>
        <c:manualLayout>
          <c:xMode val="edge"/>
          <c:yMode val="edge"/>
          <c:x val="2.4655848519728629E-2"/>
          <c:y val="3.6814429599960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(2)'!$E$7</c:f>
              <c:strCache>
                <c:ptCount val="1"/>
                <c:pt idx="0">
                  <c:v>Forecast</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(2)'!$E$8:$E$13</c:f>
              <c:numCache>
                <c:formatCode>"$"#,##0_);\("$"#,##0\)</c:formatCode>
                <c:ptCount val="6"/>
                <c:pt idx="0">
                  <c:v>84614.59</c:v>
                </c:pt>
                <c:pt idx="1">
                  <c:v>68249.88</c:v>
                </c:pt>
                <c:pt idx="2">
                  <c:v>121557.94</c:v>
                </c:pt>
                <c:pt idx="3">
                  <c:v>119526.72</c:v>
                </c:pt>
                <c:pt idx="4">
                  <c:v>49600.67</c:v>
                </c:pt>
                <c:pt idx="5">
                  <c:v>115151.74</c:v>
                </c:pt>
              </c:numCache>
            </c:numRef>
          </c:val>
          <c:extLst>
            <c:ext xmlns:c16="http://schemas.microsoft.com/office/drawing/2014/chart" uri="{C3380CC4-5D6E-409C-BE32-E72D297353CC}">
              <c16:uniqueId val="{00000000-0BC5-4591-9E38-7EABFFEAF3F2}"/>
            </c:ext>
          </c:extLst>
        </c:ser>
        <c:ser>
          <c:idx val="1"/>
          <c:order val="1"/>
          <c:tx>
            <c:strRef>
              <c:f>'Dashboard (2)'!$F$7</c:f>
              <c:strCache>
                <c:ptCount val="1"/>
                <c:pt idx="0">
                  <c:v>Actual</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(2)'!$F$8:$F$13</c:f>
              <c:numCache>
                <c:formatCode>"$"#,##0_);\("$"#,##0\)</c:formatCode>
                <c:ptCount val="6"/>
                <c:pt idx="0">
                  <c:v>86720.13</c:v>
                </c:pt>
                <c:pt idx="1">
                  <c:v>68953.81</c:v>
                </c:pt>
                <c:pt idx="2">
                  <c:v>119490.08</c:v>
                </c:pt>
                <c:pt idx="3">
                  <c:v>125960.5</c:v>
                </c:pt>
                <c:pt idx="4">
                  <c:v>50515.69</c:v>
                </c:pt>
                <c:pt idx="5">
                  <c:v>124609.39</c:v>
                </c:pt>
              </c:numCache>
            </c:numRef>
          </c:val>
          <c:extLst>
            <c:ext xmlns:c16="http://schemas.microsoft.com/office/drawing/2014/chart" uri="{C3380CC4-5D6E-409C-BE32-E72D297353CC}">
              <c16:uniqueId val="{00000001-0BC5-4591-9E38-7EABFFEAF3F2}"/>
            </c:ext>
          </c:extLst>
        </c:ser>
        <c:dLbls>
          <c:dLblPos val="outEnd"/>
          <c:showLegendKey val="0"/>
          <c:showVal val="1"/>
          <c:showCatName val="0"/>
          <c:showSerName val="0"/>
          <c:showPercent val="0"/>
          <c:showBubbleSize val="0"/>
        </c:dLbls>
        <c:gapWidth val="136"/>
        <c:overlap val="-27"/>
        <c:axId val="1569102703"/>
        <c:axId val="1404668271"/>
      </c:barChart>
      <c:catAx>
        <c:axId val="156910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68271"/>
        <c:crosses val="autoZero"/>
        <c:auto val="1"/>
        <c:lblAlgn val="ctr"/>
        <c:lblOffset val="100"/>
        <c:noMultiLvlLbl val="0"/>
      </c:catAx>
      <c:valAx>
        <c:axId val="1404668271"/>
        <c:scaling>
          <c:orientation val="minMax"/>
        </c:scaling>
        <c:delete val="1"/>
        <c:axPos val="l"/>
        <c:numFmt formatCode="&quot;$&quot;#,##0_);\(&quot;$&quot;#,##0\)" sourceLinked="1"/>
        <c:majorTickMark val="none"/>
        <c:minorTickMark val="none"/>
        <c:tickLblPos val="nextTo"/>
        <c:crossAx val="1569102703"/>
        <c:crosses val="autoZero"/>
        <c:crossBetween val="between"/>
      </c:valAx>
      <c:spPr>
        <a:noFill/>
        <a:ln>
          <a:noFill/>
        </a:ln>
        <a:effectLst/>
      </c:spPr>
    </c:plotArea>
    <c:legend>
      <c:legendPos val="t"/>
      <c:layout>
        <c:manualLayout>
          <c:xMode val="edge"/>
          <c:yMode val="edge"/>
          <c:x val="0.76577427821522315"/>
          <c:y val="5.5808989148146602E-2"/>
          <c:w val="0.16703678275608791"/>
          <c:h val="0.103286842029167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1200" b="1" i="0" u="none" strike="noStrike" baseline="0"/>
              <a:t>Δ </a:t>
            </a:r>
          </a:p>
          <a:p>
            <a:pPr>
              <a:defRPr sz="900"/>
            </a:pPr>
            <a:r>
              <a:rPr lang="en-US" sz="900"/>
              <a:t>Variance (Forecast-Actual) %</a:t>
            </a:r>
          </a:p>
        </c:rich>
      </c:tx>
      <c:layout>
        <c:manualLayout>
          <c:xMode val="edge"/>
          <c:yMode val="edge"/>
          <c:x val="8.0167226022813676E-3"/>
          <c:y val="0.55528873260252909"/>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78438146321507"/>
          <c:y val="6.73161460291927E-4"/>
          <c:w val="0.80866244434848267"/>
          <c:h val="0.76640176566607143"/>
        </c:manualLayout>
      </c:layout>
      <c:barChart>
        <c:barDir val="col"/>
        <c:grouping val="clustered"/>
        <c:varyColors val="0"/>
        <c:ser>
          <c:idx val="0"/>
          <c:order val="0"/>
          <c:tx>
            <c:strRef>
              <c:f>'Dashboard (2)'!$J$7</c:f>
              <c:strCache>
                <c:ptCount val="1"/>
                <c:pt idx="0">
                  <c:v>Variance (Forecast-Actual) %</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(2)'!$J$8:$J$13</c:f>
              <c:numCache>
                <c:formatCode>0%</c:formatCode>
                <c:ptCount val="6"/>
                <c:pt idx="0">
                  <c:v>-2.4279714525335838E-2</c:v>
                </c:pt>
                <c:pt idx="1">
                  <c:v>-1.0208717980920712E-2</c:v>
                </c:pt>
                <c:pt idx="2">
                  <c:v>1.7305704373116182E-2</c:v>
                </c:pt>
                <c:pt idx="3">
                  <c:v>-5.1077758503657922E-2</c:v>
                </c:pt>
                <c:pt idx="4">
                  <c:v>-1.811358015697706E-2</c:v>
                </c:pt>
                <c:pt idx="5">
                  <c:v>-7.5898373308785128E-2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0-96CB-4C03-ADAF-60A377FA9A5E}"/>
            </c:ext>
          </c:extLst>
        </c:ser>
        <c:dLbls>
          <c:showLegendKey val="0"/>
          <c:showVal val="0"/>
          <c:showCatName val="0"/>
          <c:showSerName val="0"/>
          <c:showPercent val="0"/>
          <c:showBubbleSize val="0"/>
        </c:dLbls>
        <c:gapWidth val="219"/>
        <c:overlap val="-27"/>
        <c:axId val="1569096671"/>
        <c:axId val="1178773583"/>
      </c:barChart>
      <c:catAx>
        <c:axId val="1569096671"/>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73583"/>
        <c:crosses val="autoZero"/>
        <c:auto val="1"/>
        <c:lblAlgn val="ctr"/>
        <c:lblOffset val="100"/>
        <c:noMultiLvlLbl val="0"/>
      </c:catAx>
      <c:valAx>
        <c:axId val="1178773583"/>
        <c:scaling>
          <c:orientation val="minMax"/>
        </c:scaling>
        <c:delete val="1"/>
        <c:axPos val="l"/>
        <c:numFmt formatCode="0%" sourceLinked="1"/>
        <c:majorTickMark val="none"/>
        <c:minorTickMark val="none"/>
        <c:tickLblPos val="nextTo"/>
        <c:crossAx val="15690966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Δ %</a:t>
            </a:r>
            <a:endParaRPr lang="en-US" sz="1400" b="1"/>
          </a:p>
        </c:rich>
      </c:tx>
      <c:layout>
        <c:manualLayout>
          <c:xMode val="edge"/>
          <c:yMode val="edge"/>
          <c:x val="1.9722717477427206E-2"/>
          <c:y val="0.347927404275404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320760809602951E-2"/>
          <c:y val="1.7144856427547032E-2"/>
          <c:w val="0.88283017866993796"/>
          <c:h val="0.70252157423865091"/>
        </c:manualLayout>
      </c:layout>
      <c:barChart>
        <c:barDir val="col"/>
        <c:grouping val="clustered"/>
        <c:varyColors val="0"/>
        <c:ser>
          <c:idx val="0"/>
          <c:order val="0"/>
          <c:tx>
            <c:strRef>
              <c:f>'Dashboard (2)'!$I$7</c:f>
              <c:strCache>
                <c:ptCount val="1"/>
                <c:pt idx="0">
                  <c:v>Variance (Budget-Actual)%</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(2)'!$I$8:$I$13</c:f>
              <c:numCache>
                <c:formatCode>0%</c:formatCode>
                <c:ptCount val="6"/>
                <c:pt idx="0">
                  <c:v>-7.8427465456982204E-2</c:v>
                </c:pt>
                <c:pt idx="1">
                  <c:v>8.8769714102817643E-2</c:v>
                </c:pt>
                <c:pt idx="2">
                  <c:v>5.3662697355295164E-2</c:v>
                </c:pt>
                <c:pt idx="3">
                  <c:v>-0.10493130783062943</c:v>
                </c:pt>
                <c:pt idx="4">
                  <c:v>1.6742125070448477E-2</c:v>
                </c:pt>
                <c:pt idx="5">
                  <c:v>-7.5986568909453767E-2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0-826D-43D6-92D6-85CFC71E40C7}"/>
            </c:ext>
          </c:extLst>
        </c:ser>
        <c:ser>
          <c:idx val="1"/>
          <c:order val="1"/>
          <c:tx>
            <c:strRef>
              <c:f>'Dashboard (2)'!$J$7</c:f>
              <c:strCache>
                <c:ptCount val="1"/>
                <c:pt idx="0">
                  <c:v>Variance (Forecast-Actual) %</c:v>
                </c:pt>
              </c:strCache>
            </c:strRef>
          </c:tx>
          <c:spPr>
            <a:solidFill>
              <a:srgbClr val="EBF1D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(2)'!$C$8:$C$13</c:f>
              <c:strCache>
                <c:ptCount val="6"/>
                <c:pt idx="0">
                  <c:v>Finance</c:v>
                </c:pt>
                <c:pt idx="1">
                  <c:v>HR</c:v>
                </c:pt>
                <c:pt idx="2">
                  <c:v>IT</c:v>
                </c:pt>
                <c:pt idx="3">
                  <c:v>Marketing</c:v>
                </c:pt>
                <c:pt idx="4">
                  <c:v>Operations</c:v>
                </c:pt>
                <c:pt idx="5">
                  <c:v>Sales</c:v>
                </c:pt>
              </c:strCache>
            </c:strRef>
          </c:cat>
          <c:val>
            <c:numRef>
              <c:f>'Dashboard (2)'!$J$8:$J$13</c:f>
              <c:numCache>
                <c:formatCode>0%</c:formatCode>
                <c:ptCount val="6"/>
                <c:pt idx="0">
                  <c:v>-2.4279714525335838E-2</c:v>
                </c:pt>
                <c:pt idx="1">
                  <c:v>-1.0208717980920712E-2</c:v>
                </c:pt>
                <c:pt idx="2">
                  <c:v>1.7305704373116182E-2</c:v>
                </c:pt>
                <c:pt idx="3">
                  <c:v>-5.1077758503657922E-2</c:v>
                </c:pt>
                <c:pt idx="4">
                  <c:v>-1.811358015697706E-2</c:v>
                </c:pt>
                <c:pt idx="5">
                  <c:v>-7.5898373308785128E-2</c:v>
                </c:pt>
              </c:numCache>
            </c:numRef>
          </c:val>
          <c:extLst>
            <c:ext xmlns:c14="http://schemas.microsoft.com/office/drawing/2007/8/2/chart" uri="{6F2FDCE9-48DA-4B69-8628-5D25D57E5C99}">
              <c14:invertSolidFillFmt>
                <c14:spPr xmlns:c14="http://schemas.microsoft.com/office/drawing/2007/8/2/chart">
                  <a:solidFill>
                    <a:srgbClr val="F2DCDB"/>
                  </a:solidFill>
                  <a:ln>
                    <a:noFill/>
                  </a:ln>
                  <a:effectLst/>
                </c14:spPr>
              </c14:invertSolidFillFmt>
            </c:ext>
            <c:ext xmlns:c16="http://schemas.microsoft.com/office/drawing/2014/chart" uri="{C3380CC4-5D6E-409C-BE32-E72D297353CC}">
              <c16:uniqueId val="{00000001-826D-43D6-92D6-85CFC71E40C7}"/>
            </c:ext>
          </c:extLst>
        </c:ser>
        <c:dLbls>
          <c:showLegendKey val="0"/>
          <c:showVal val="0"/>
          <c:showCatName val="0"/>
          <c:showSerName val="0"/>
          <c:showPercent val="0"/>
          <c:showBubbleSize val="0"/>
        </c:dLbls>
        <c:gapWidth val="248"/>
        <c:overlap val="-27"/>
        <c:axId val="1861149919"/>
        <c:axId val="1404672111"/>
      </c:barChart>
      <c:catAx>
        <c:axId val="1861149919"/>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672111"/>
        <c:crosses val="autoZero"/>
        <c:auto val="1"/>
        <c:lblAlgn val="ctr"/>
        <c:lblOffset val="100"/>
        <c:noMultiLvlLbl val="0"/>
      </c:catAx>
      <c:valAx>
        <c:axId val="1404672111"/>
        <c:scaling>
          <c:orientation val="minMax"/>
        </c:scaling>
        <c:delete val="1"/>
        <c:axPos val="l"/>
        <c:numFmt formatCode="0%" sourceLinked="1"/>
        <c:majorTickMark val="none"/>
        <c:minorTickMark val="none"/>
        <c:tickLblPos val="nextTo"/>
        <c:crossAx val="1861149919"/>
        <c:crosses val="autoZero"/>
        <c:crossBetween val="between"/>
      </c:valAx>
      <c:spPr>
        <a:noFill/>
        <a:ln>
          <a:noFill/>
        </a:ln>
        <a:effectLst/>
      </c:spPr>
    </c:plotArea>
    <c:legend>
      <c:legendPos val="b"/>
      <c:layout>
        <c:manualLayout>
          <c:xMode val="edge"/>
          <c:yMode val="edge"/>
          <c:x val="0.29298582580104732"/>
          <c:y val="0.7070907413550388"/>
          <c:w val="0.33192488267504905"/>
          <c:h val="0.120856440048858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603413</xdr:colOff>
      <xdr:row>5</xdr:row>
      <xdr:rowOff>179917</xdr:rowOff>
    </xdr:from>
    <xdr:to>
      <xdr:col>8</xdr:col>
      <xdr:colOff>816056</xdr:colOff>
      <xdr:row>15</xdr:row>
      <xdr:rowOff>171288</xdr:rowOff>
    </xdr:to>
    <xdr:graphicFrame macro="">
      <xdr:nvGraphicFramePr>
        <xdr:cNvPr id="2" name="Chart 1">
          <a:extLst>
            <a:ext uri="{FF2B5EF4-FFF2-40B4-BE49-F238E27FC236}">
              <a16:creationId xmlns:a16="http://schemas.microsoft.com/office/drawing/2014/main" id="{46AF1857-CCEA-D100-882E-309CF1743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237067</xdr:colOff>
      <xdr:row>25</xdr:row>
      <xdr:rowOff>186047</xdr:rowOff>
    </xdr:from>
    <xdr:to>
      <xdr:col>12</xdr:col>
      <xdr:colOff>369195</xdr:colOff>
      <xdr:row>38</xdr:row>
      <xdr:rowOff>20687</xdr:rowOff>
    </xdr:to>
    <xdr:graphicFrame macro="">
      <xdr:nvGraphicFramePr>
        <xdr:cNvPr id="3" name="Chart 2">
          <a:extLst>
            <a:ext uri="{FF2B5EF4-FFF2-40B4-BE49-F238E27FC236}">
              <a16:creationId xmlns:a16="http://schemas.microsoft.com/office/drawing/2014/main" id="{F8D9DC1C-0C53-CD57-1792-A2531DEAF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200442</xdr:colOff>
      <xdr:row>15</xdr:row>
      <xdr:rowOff>111669</xdr:rowOff>
    </xdr:from>
    <xdr:to>
      <xdr:col>8</xdr:col>
      <xdr:colOff>832337</xdr:colOff>
      <xdr:row>25</xdr:row>
      <xdr:rowOff>2831</xdr:rowOff>
    </xdr:to>
    <xdr:graphicFrame macro="">
      <xdr:nvGraphicFramePr>
        <xdr:cNvPr id="5" name="Chart 4">
          <a:extLst>
            <a:ext uri="{FF2B5EF4-FFF2-40B4-BE49-F238E27FC236}">
              <a16:creationId xmlns:a16="http://schemas.microsoft.com/office/drawing/2014/main" id="{77BDC460-9225-FF86-CAA1-26E8824E8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824032</xdr:colOff>
      <xdr:row>5</xdr:row>
      <xdr:rowOff>170029</xdr:rowOff>
    </xdr:from>
    <xdr:to>
      <xdr:col>17</xdr:col>
      <xdr:colOff>451988</xdr:colOff>
      <xdr:row>16</xdr:row>
      <xdr:rowOff>9769</xdr:rowOff>
    </xdr:to>
    <xdr:graphicFrame macro="">
      <xdr:nvGraphicFramePr>
        <xdr:cNvPr id="7" name="Chart 6">
          <a:extLst>
            <a:ext uri="{FF2B5EF4-FFF2-40B4-BE49-F238E27FC236}">
              <a16:creationId xmlns:a16="http://schemas.microsoft.com/office/drawing/2014/main" id="{6BEC4A84-2278-41EA-F878-32F5E211E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828755</xdr:colOff>
      <xdr:row>15</xdr:row>
      <xdr:rowOff>167381</xdr:rowOff>
    </xdr:from>
    <xdr:to>
      <xdr:col>19</xdr:col>
      <xdr:colOff>112996</xdr:colOff>
      <xdr:row>25</xdr:row>
      <xdr:rowOff>138074</xdr:rowOff>
    </xdr:to>
    <xdr:graphicFrame macro="">
      <xdr:nvGraphicFramePr>
        <xdr:cNvPr id="8" name="Chart 7">
          <a:extLst>
            <a:ext uri="{FF2B5EF4-FFF2-40B4-BE49-F238E27FC236}">
              <a16:creationId xmlns:a16="http://schemas.microsoft.com/office/drawing/2014/main" id="{C39D16F0-8933-9EAE-D290-9F2377657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21639</xdr:rowOff>
    </xdr:from>
    <xdr:to>
      <xdr:col>10</xdr:col>
      <xdr:colOff>364067</xdr:colOff>
      <xdr:row>47</xdr:row>
      <xdr:rowOff>118533</xdr:rowOff>
    </xdr:to>
    <xdr:graphicFrame macro="">
      <xdr:nvGraphicFramePr>
        <xdr:cNvPr id="9" name="Chart 8">
          <a:extLst>
            <a:ext uri="{FF2B5EF4-FFF2-40B4-BE49-F238E27FC236}">
              <a16:creationId xmlns:a16="http://schemas.microsoft.com/office/drawing/2014/main" id="{3D1F4DA0-B586-9286-985F-138D9DA02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0</xdr:colOff>
      <xdr:row>6</xdr:row>
      <xdr:rowOff>16935</xdr:rowOff>
    </xdr:from>
    <xdr:to>
      <xdr:col>1</xdr:col>
      <xdr:colOff>499533</xdr:colOff>
      <xdr:row>15</xdr:row>
      <xdr:rowOff>139701</xdr:rowOff>
    </xdr:to>
    <mc:AlternateContent xmlns:mc="http://schemas.openxmlformats.org/markup-compatibility/2006">
      <mc:Choice xmlns:sle15="http://schemas.microsoft.com/office/drawing/2012/slicer" Requires="sle15">
        <xdr:graphicFrame macro="">
          <xdr:nvGraphicFramePr>
            <xdr:cNvPr id="11" name="Department">
              <a:extLst>
                <a:ext uri="{FF2B5EF4-FFF2-40B4-BE49-F238E27FC236}">
                  <a16:creationId xmlns:a16="http://schemas.microsoft.com/office/drawing/2014/main" id="{2662BC77-557F-5F58-55ED-C6D38DF2175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202268"/>
              <a:ext cx="1109133" cy="198543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578013</xdr:colOff>
      <xdr:row>5</xdr:row>
      <xdr:rowOff>171450</xdr:rowOff>
    </xdr:from>
    <xdr:to>
      <xdr:col>21</xdr:col>
      <xdr:colOff>468923</xdr:colOff>
      <xdr:row>15</xdr:row>
      <xdr:rowOff>162821</xdr:rowOff>
    </xdr:to>
    <xdr:graphicFrame macro="">
      <xdr:nvGraphicFramePr>
        <xdr:cNvPr id="2" name="Chart 1">
          <a:extLst>
            <a:ext uri="{FF2B5EF4-FFF2-40B4-BE49-F238E27FC236}">
              <a16:creationId xmlns:a16="http://schemas.microsoft.com/office/drawing/2014/main" id="{AE4A0654-226C-41C4-9E69-4D59EB57F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8248</xdr:rowOff>
    </xdr:from>
    <xdr:to>
      <xdr:col>11</xdr:col>
      <xdr:colOff>132128</xdr:colOff>
      <xdr:row>38</xdr:row>
      <xdr:rowOff>29154</xdr:rowOff>
    </xdr:to>
    <xdr:graphicFrame macro="">
      <xdr:nvGraphicFramePr>
        <xdr:cNvPr id="3" name="Chart 2">
          <a:extLst>
            <a:ext uri="{FF2B5EF4-FFF2-40B4-BE49-F238E27FC236}">
              <a16:creationId xmlns:a16="http://schemas.microsoft.com/office/drawing/2014/main" id="{6DAC178A-ED0C-465A-B1C7-4C4A06169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191975</xdr:colOff>
      <xdr:row>15</xdr:row>
      <xdr:rowOff>170936</xdr:rowOff>
    </xdr:from>
    <xdr:to>
      <xdr:col>21</xdr:col>
      <xdr:colOff>502137</xdr:colOff>
      <xdr:row>25</xdr:row>
      <xdr:rowOff>62098</xdr:rowOff>
    </xdr:to>
    <xdr:graphicFrame macro="">
      <xdr:nvGraphicFramePr>
        <xdr:cNvPr id="4" name="Chart 3">
          <a:extLst>
            <a:ext uri="{FF2B5EF4-FFF2-40B4-BE49-F238E27FC236}">
              <a16:creationId xmlns:a16="http://schemas.microsoft.com/office/drawing/2014/main" id="{7F246C31-FE95-4DEA-BA80-3A658BFED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36633</xdr:colOff>
      <xdr:row>5</xdr:row>
      <xdr:rowOff>153096</xdr:rowOff>
    </xdr:from>
    <xdr:to>
      <xdr:col>33</xdr:col>
      <xdr:colOff>87922</xdr:colOff>
      <xdr:row>15</xdr:row>
      <xdr:rowOff>179103</xdr:rowOff>
    </xdr:to>
    <xdr:graphicFrame macro="">
      <xdr:nvGraphicFramePr>
        <xdr:cNvPr id="5" name="Chart 4">
          <a:extLst>
            <a:ext uri="{FF2B5EF4-FFF2-40B4-BE49-F238E27FC236}">
              <a16:creationId xmlns:a16="http://schemas.microsoft.com/office/drawing/2014/main" id="{BEE72D68-4DFD-46B3-BE1B-7284E3B03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447756</xdr:colOff>
      <xdr:row>16</xdr:row>
      <xdr:rowOff>40381</xdr:rowOff>
    </xdr:from>
    <xdr:to>
      <xdr:col>34</xdr:col>
      <xdr:colOff>265397</xdr:colOff>
      <xdr:row>26</xdr:row>
      <xdr:rowOff>11075</xdr:rowOff>
    </xdr:to>
    <xdr:graphicFrame macro="">
      <xdr:nvGraphicFramePr>
        <xdr:cNvPr id="6" name="Chart 5">
          <a:extLst>
            <a:ext uri="{FF2B5EF4-FFF2-40B4-BE49-F238E27FC236}">
              <a16:creationId xmlns:a16="http://schemas.microsoft.com/office/drawing/2014/main" id="{F2DEAE18-1502-4DE2-AD77-4F68440AF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21639</xdr:rowOff>
    </xdr:from>
    <xdr:to>
      <xdr:col>10</xdr:col>
      <xdr:colOff>364067</xdr:colOff>
      <xdr:row>47</xdr:row>
      <xdr:rowOff>118533</xdr:rowOff>
    </xdr:to>
    <xdr:graphicFrame macro="">
      <xdr:nvGraphicFramePr>
        <xdr:cNvPr id="7" name="Chart 6">
          <a:extLst>
            <a:ext uri="{FF2B5EF4-FFF2-40B4-BE49-F238E27FC236}">
              <a16:creationId xmlns:a16="http://schemas.microsoft.com/office/drawing/2014/main" id="{698BCC40-F268-4C3A-A11A-84D56C39D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9D31944-79BB-4A88-8A3C-8CCDE822923F}" sourceName="Department">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922F798-ACB7-448E-99FC-F5CE574FF230}"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91B78F-14EC-4A2F-AAFD-5ECDDBCCB97C}" name="Table2" displayName="Table2" ref="C7:J13" totalsRowShown="0" headerRowDxfId="15">
  <autoFilter ref="C7:J13" xr:uid="{6391B78F-14EC-4A2F-AAFD-5ECDDBCCB97C}"/>
  <tableColumns count="8">
    <tableColumn id="1" xr3:uid="{6240671F-96E5-42C3-A5C9-B72EE3C43E27}" name="Department" dataDxfId="23"/>
    <tableColumn id="2" xr3:uid="{4F46A655-2CA8-466B-80BF-FAB3B42DA710}" name="Budget" dataDxfId="22" dataCellStyle="Comma">
      <calculatedColumnFormula>SUMIFS(Data!$N:$N,Data!$K:$K,$D$4,Data!$L:$L,$D$5,Data!$M:$M,$C8)</calculatedColumnFormula>
    </tableColumn>
    <tableColumn id="3" xr3:uid="{B6096F09-E850-43A9-84AD-879E669BA660}" name="Forecast" dataDxfId="21" dataCellStyle="Comma">
      <calculatedColumnFormula>SUMIFS(Data!$O:$O,Data!$K:$K,$D$4,Data!$L:$L,$D$5,Data!$M:$M,$C8)</calculatedColumnFormula>
    </tableColumn>
    <tableColumn id="4" xr3:uid="{B14B3C46-3FB4-424E-8A93-9068DF7909AD}" name="Actual" dataDxfId="20" dataCellStyle="Comma">
      <calculatedColumnFormula>SUMIFS(Data!$P:$P,Data!$K:$K,$D$4,Data!$L:$L,$D$5,Data!$M:$M,$C8)</calculatedColumnFormula>
    </tableColumn>
    <tableColumn id="5" xr3:uid="{B85D7975-6E33-47F5-B444-635899D76F42}" name="Variance (Budget-Actual)" dataDxfId="19" dataCellStyle="Comma">
      <calculatedColumnFormula>D8-F8</calculatedColumnFormula>
    </tableColumn>
    <tableColumn id="6" xr3:uid="{8B66BFC1-DB05-4F9B-84E2-FEDB5A4BC3A6}" name="Variance (Forecast-Actual)" dataDxfId="18">
      <calculatedColumnFormula>E8-F8</calculatedColumnFormula>
    </tableColumn>
    <tableColumn id="7" xr3:uid="{24B88109-B8D1-49B0-8D51-3F5EAC912392}" name="Variance (Budget-Actual)%" dataDxfId="17">
      <calculatedColumnFormula>D8/F8-1</calculatedColumnFormula>
    </tableColumn>
    <tableColumn id="8" xr3:uid="{F9C15E71-E527-4BCF-8C49-D6A4C309275A}" name="Variance (Forecast-Actual) %" dataDxfId="16">
      <calculatedColumnFormula>E8/F8-1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E8A6F1-C78B-483F-812C-47494CE76B9D}" name="Table25" displayName="Table25" ref="C7:J13" totalsRowShown="0" headerRowDxfId="8">
  <autoFilter ref="C7:J13" xr:uid="{6391B78F-14EC-4A2F-AAFD-5ECDDBCCB97C}"/>
  <tableColumns count="8">
    <tableColumn id="1" xr3:uid="{C801E8A7-184D-4E8F-8847-7DC82542D448}" name="Department" dataDxfId="7"/>
    <tableColumn id="2" xr3:uid="{BC02D237-620B-49C4-A407-FECBB986133E}" name="Budget" dataDxfId="6" dataCellStyle="Comma">
      <calculatedColumnFormula>SUMIFS(Data!$N:$N,Data!$K:$K,$D$4,Data!$L:$L,$D$5,Data!$M:$M,$C8)</calculatedColumnFormula>
    </tableColumn>
    <tableColumn id="3" xr3:uid="{3245269A-3312-4A4D-AC93-5B228FBB3279}" name="Forecast" dataDxfId="5" dataCellStyle="Comma">
      <calculatedColumnFormula>SUMIFS(Data!$O:$O,Data!$K:$K,$D$4,Data!$L:$L,$D$5,Data!$M:$M,$C8)</calculatedColumnFormula>
    </tableColumn>
    <tableColumn id="4" xr3:uid="{2FF7EEBD-1A61-4E33-B1AA-240ADF9FE0BE}" name="Actual" dataDxfId="4" dataCellStyle="Comma">
      <calculatedColumnFormula>SUMIFS(Data!$P:$P,Data!$K:$K,$D$4,Data!$L:$L,$D$5,Data!$M:$M,$C8)</calculatedColumnFormula>
    </tableColumn>
    <tableColumn id="5" xr3:uid="{FA902C79-A3BE-40C8-940D-279B045542E2}" name="Variance (Budget-Actual)" dataDxfId="3" dataCellStyle="Comma">
      <calculatedColumnFormula>D8-F8</calculatedColumnFormula>
    </tableColumn>
    <tableColumn id="6" xr3:uid="{F60AF074-6F7B-4BF5-B5F0-5AB1445BD115}" name="Variance (Forecast-Actual)" dataDxfId="2">
      <calculatedColumnFormula>E8-F8</calculatedColumnFormula>
    </tableColumn>
    <tableColumn id="7" xr3:uid="{49F25FF9-06EE-4BA2-8E7F-CBC85EEDA21E}" name="Variance (Budget-Actual)%" dataDxfId="1">
      <calculatedColumnFormula>D8/F8-1</calculatedColumnFormula>
    </tableColumn>
    <tableColumn id="8" xr3:uid="{8804AFB0-C5F4-4F6D-BD34-AC80CAACB76F}" name="Variance (Forecast-Actual) %" dataDxfId="0">
      <calculatedColumnFormula>E8/F8-1</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1"/>
  <sheetViews>
    <sheetView topLeftCell="E1" zoomScale="89" zoomScaleNormal="89" workbookViewId="0">
      <selection activeCell="H5" sqref="H5"/>
    </sheetView>
  </sheetViews>
  <sheetFormatPr defaultRowHeight="14.5"/>
  <cols>
    <col min="1" max="1" width="13.81640625" customWidth="1"/>
    <col min="2" max="2" width="10.08984375" bestFit="1" customWidth="1"/>
    <col min="4" max="4" width="15.36328125" customWidth="1"/>
    <col min="5" max="5" width="14.36328125" customWidth="1"/>
    <col min="6" max="6" width="15.1796875" customWidth="1"/>
    <col min="7" max="7" width="14" customWidth="1"/>
    <col min="8" max="8" width="9.08984375" bestFit="1" customWidth="1"/>
    <col min="9" max="9" width="9.08984375" hidden="1" customWidth="1"/>
    <col min="11" max="11" width="11.26953125" style="7" customWidth="1"/>
    <col min="12" max="12" width="10" style="7" customWidth="1"/>
    <col min="13" max="13" width="13.453125" customWidth="1"/>
    <col min="14" max="14" width="15.1796875" bestFit="1" customWidth="1"/>
    <col min="15" max="15" width="17.26953125" bestFit="1" customWidth="1"/>
    <col min="16" max="16" width="15.81640625" bestFit="1" customWidth="1"/>
    <col min="17" max="17" width="17.08984375" bestFit="1" customWidth="1"/>
    <col min="18" max="18" width="15.1796875" bestFit="1" customWidth="1"/>
    <col min="19" max="19" width="17.26953125" bestFit="1" customWidth="1"/>
    <col min="20" max="20" width="15.81640625" bestFit="1" customWidth="1"/>
    <col min="21" max="21" width="17.08984375" bestFit="1" customWidth="1"/>
    <col min="22" max="22" width="15.1796875" bestFit="1" customWidth="1"/>
    <col min="23" max="23" width="17.26953125" bestFit="1" customWidth="1"/>
    <col min="24" max="24" width="15.81640625" bestFit="1" customWidth="1"/>
    <col min="25" max="25" width="17.08984375" bestFit="1" customWidth="1"/>
    <col min="26" max="26" width="15.1796875" bestFit="1" customWidth="1"/>
    <col min="27" max="27" width="17.26953125" bestFit="1" customWidth="1"/>
    <col min="28" max="28" width="15.81640625" bestFit="1" customWidth="1"/>
    <col min="29" max="29" width="17.08984375" bestFit="1" customWidth="1"/>
    <col min="30" max="30" width="15.1796875" bestFit="1" customWidth="1"/>
    <col min="31" max="31" width="17.26953125" bestFit="1" customWidth="1"/>
    <col min="32" max="32" width="15.81640625" bestFit="1" customWidth="1"/>
    <col min="33" max="33" width="17.08984375" bestFit="1" customWidth="1"/>
    <col min="34" max="34" width="15.1796875" bestFit="1" customWidth="1"/>
    <col min="35" max="35" width="17.26953125" bestFit="1" customWidth="1"/>
    <col min="36" max="36" width="20.6328125" bestFit="1" customWidth="1"/>
    <col min="37" max="37" width="21.90625" bestFit="1" customWidth="1"/>
    <col min="38" max="38" width="20" bestFit="1" customWidth="1"/>
    <col min="39" max="39" width="22.08984375" bestFit="1" customWidth="1"/>
  </cols>
  <sheetData>
    <row r="1" spans="1:18">
      <c r="A1" s="1" t="s">
        <v>0</v>
      </c>
      <c r="B1" s="1" t="s">
        <v>1</v>
      </c>
      <c r="C1" s="1" t="s">
        <v>2</v>
      </c>
      <c r="D1" s="1" t="s">
        <v>10</v>
      </c>
      <c r="E1" s="1" t="s">
        <v>11</v>
      </c>
      <c r="F1" s="1" t="s">
        <v>12</v>
      </c>
      <c r="G1" s="1" t="s">
        <v>13</v>
      </c>
      <c r="H1" s="1" t="s">
        <v>3</v>
      </c>
      <c r="I1" s="10"/>
      <c r="K1" t="s">
        <v>0</v>
      </c>
      <c r="L1" t="s">
        <v>2</v>
      </c>
      <c r="M1" t="s">
        <v>1</v>
      </c>
      <c r="N1" t="s">
        <v>10</v>
      </c>
      <c r="O1" t="s">
        <v>11</v>
      </c>
      <c r="P1" t="s">
        <v>12</v>
      </c>
      <c r="Q1" t="s">
        <v>13</v>
      </c>
      <c r="R1" t="s">
        <v>19</v>
      </c>
    </row>
    <row r="2" spans="1:18">
      <c r="A2">
        <v>2024</v>
      </c>
      <c r="B2" t="s">
        <v>4</v>
      </c>
      <c r="C2">
        <v>1</v>
      </c>
      <c r="D2" s="2">
        <v>41215.19</v>
      </c>
      <c r="E2" s="2">
        <v>39758.93</v>
      </c>
      <c r="F2" s="2">
        <v>37613.910000000003</v>
      </c>
      <c r="G2" s="2">
        <f>D2-F2</f>
        <v>3601.2799999999988</v>
      </c>
      <c r="H2" s="5"/>
      <c r="I2" s="5"/>
      <c r="K2">
        <v>2024</v>
      </c>
      <c r="L2">
        <v>1</v>
      </c>
      <c r="M2" t="s">
        <v>4</v>
      </c>
      <c r="N2">
        <f>SUMIFS(D:D,(A:A),$A$2,(C:C),$C$2,(B:B),$B$2)</f>
        <v>41215.19</v>
      </c>
      <c r="O2">
        <f>SUMIFS(E:E,(A:A),$A$2,(C:C),$C$2,(B:B),$B$2)</f>
        <v>39758.93</v>
      </c>
      <c r="P2">
        <f>SUMIFS(F:F,(A:A),$A$2,(C:C),$C$2,(B:B),$B$2)</f>
        <v>37613.910000000003</v>
      </c>
      <c r="Q2">
        <f>SUMIFS(G:G,(A:A),$A$2,(C:C),$C$2,(B:B),$B$2)</f>
        <v>3601.2799999999988</v>
      </c>
      <c r="R2">
        <f>N2/P2-1</f>
        <v>9.5743303474698616E-2</v>
      </c>
    </row>
    <row r="3" spans="1:18">
      <c r="A3">
        <v>2024</v>
      </c>
      <c r="B3" t="s">
        <v>4</v>
      </c>
      <c r="C3">
        <v>2</v>
      </c>
      <c r="D3" s="2">
        <v>79918.89</v>
      </c>
      <c r="E3" s="2">
        <v>84614.59</v>
      </c>
      <c r="F3" s="2">
        <v>86720.13</v>
      </c>
      <c r="G3" s="2">
        <f t="shared" ref="G3:G49" si="0">D3-F3</f>
        <v>-6801.2400000000052</v>
      </c>
      <c r="K3">
        <v>2024</v>
      </c>
      <c r="L3">
        <v>1</v>
      </c>
      <c r="M3" t="s">
        <v>5</v>
      </c>
      <c r="N3">
        <f>SUMIFS(D:D,(A:A),$A$2,(C:C),$C$2,(B:B),$B$6)</f>
        <v>32925.71</v>
      </c>
      <c r="O3">
        <f>SUMIFS(E:E,(A:A),$A$2,(C:C),$C$2,(B:B),$B$6)</f>
        <v>30364.35</v>
      </c>
      <c r="P3">
        <f>SUMIFS(F:F,(A:A),$A$2,(C:C),$C$2,(B:B),$B$6)</f>
        <v>30596.03</v>
      </c>
      <c r="Q3">
        <f>SUMIFS(G:G,(A:A),$A$2,(C:C),$C$2,(B:B),$B$6)</f>
        <v>2329.6800000000003</v>
      </c>
      <c r="R3">
        <f t="shared" ref="R3:R49" si="1">N3/P3-1</f>
        <v>7.6143212044176956E-2</v>
      </c>
    </row>
    <row r="4" spans="1:18">
      <c r="A4">
        <v>2024</v>
      </c>
      <c r="B4" t="s">
        <v>4</v>
      </c>
      <c r="C4">
        <v>3</v>
      </c>
      <c r="D4" s="2">
        <v>92014.18</v>
      </c>
      <c r="E4" s="2">
        <v>100763.08</v>
      </c>
      <c r="F4" s="2">
        <v>105980.31</v>
      </c>
      <c r="G4" s="2">
        <f t="shared" si="0"/>
        <v>-13966.130000000005</v>
      </c>
      <c r="K4">
        <v>2024</v>
      </c>
      <c r="L4">
        <v>1</v>
      </c>
      <c r="M4" t="s">
        <v>6</v>
      </c>
      <c r="N4">
        <f>SUMIFS(D:D,(A:A),$A$2,(C:C),$C$2,(B:B),$B$10)</f>
        <v>26040.63</v>
      </c>
      <c r="O4">
        <f>SUMIFS(E:E,(A:A),$A$2,(C:C),$C$2,(B:B),$B$10)</f>
        <v>24585.53</v>
      </c>
      <c r="P4">
        <f>SUMIFS(F:F,(A:A),$A$2,(C:C),$C$2,(B:B),$B$10)</f>
        <v>22752.02</v>
      </c>
      <c r="Q4">
        <f>SUMIFS(G:G,(A:A),$A$2,(C:C),$C$2,(B:B),$B$10)</f>
        <v>3288.6100000000006</v>
      </c>
      <c r="R4">
        <f t="shared" si="1"/>
        <v>0.1445414517040684</v>
      </c>
    </row>
    <row r="5" spans="1:18">
      <c r="A5">
        <v>2024</v>
      </c>
      <c r="B5" t="s">
        <v>4</v>
      </c>
      <c r="C5">
        <v>4</v>
      </c>
      <c r="D5" s="2">
        <v>117680.6</v>
      </c>
      <c r="E5" s="2">
        <v>106162.49</v>
      </c>
      <c r="F5" s="2">
        <v>96071.26</v>
      </c>
      <c r="G5" s="2">
        <f t="shared" si="0"/>
        <v>21609.340000000011</v>
      </c>
      <c r="K5">
        <v>2024</v>
      </c>
      <c r="L5">
        <v>1</v>
      </c>
      <c r="M5" t="s">
        <v>8</v>
      </c>
      <c r="N5">
        <f>SUMIFS(D:D,(A:A),$A$2,(C:C),$C$2,(B:B),$B$18)</f>
        <v>44332.15</v>
      </c>
      <c r="O5">
        <f>SUMIFS(E:E,(A:A),$A$2,(C:C),$C$2,(B:B),$B$18)</f>
        <v>41613.82</v>
      </c>
      <c r="P5">
        <f>SUMIFS(F:F,(A:A),$A$2,(C:C),$C$2,(B:B),$B$18)</f>
        <v>38572.49</v>
      </c>
      <c r="Q5">
        <f>SUMIFS(G:G,(A:A),$A$2,(C:C),$C$2,(B:B),$B$18)</f>
        <v>5759.6600000000035</v>
      </c>
      <c r="R5">
        <f t="shared" si="1"/>
        <v>0.14932040944206615</v>
      </c>
    </row>
    <row r="6" spans="1:18">
      <c r="A6">
        <v>2024</v>
      </c>
      <c r="B6" t="s">
        <v>5</v>
      </c>
      <c r="C6">
        <v>1</v>
      </c>
      <c r="D6" s="2">
        <v>32925.71</v>
      </c>
      <c r="E6" s="2">
        <v>30364.35</v>
      </c>
      <c r="F6" s="2">
        <v>30596.03</v>
      </c>
      <c r="G6" s="2">
        <f t="shared" si="0"/>
        <v>2329.6800000000003</v>
      </c>
      <c r="K6">
        <v>2024</v>
      </c>
      <c r="L6">
        <v>1</v>
      </c>
      <c r="M6" t="s">
        <v>9</v>
      </c>
      <c r="N6">
        <f>SUMIFS(D:D,(A:A),$A$2,(C:C),$C$2,(B:B),$B$22)</f>
        <v>100318.84</v>
      </c>
      <c r="O6">
        <f>SUMIFS(E:E,(A:A),$A$2,(C:C),$C$2,(B:B),$B$22)</f>
        <v>99411.77</v>
      </c>
      <c r="P6">
        <f>SUMIFS(F:F,(A:A),$A$2,(C:C),$C$2,(B:B),$B$22)</f>
        <v>102349.27</v>
      </c>
      <c r="Q6">
        <f>SUMIFS(G:G,(A:A),$A$2,(C:C),$C$2,(B:B),$B$22)</f>
        <v>-2030.4300000000076</v>
      </c>
      <c r="R6">
        <f t="shared" si="1"/>
        <v>-1.9838246037319096E-2</v>
      </c>
    </row>
    <row r="7" spans="1:18">
      <c r="A7">
        <v>2024</v>
      </c>
      <c r="B7" t="s">
        <v>5</v>
      </c>
      <c r="C7">
        <v>2</v>
      </c>
      <c r="D7" s="2">
        <v>75074.820000000007</v>
      </c>
      <c r="E7" s="2">
        <v>68249.88</v>
      </c>
      <c r="F7" s="2">
        <v>68953.81</v>
      </c>
      <c r="G7" s="2">
        <f t="shared" si="0"/>
        <v>6121.0100000000093</v>
      </c>
      <c r="K7">
        <v>2024</v>
      </c>
      <c r="L7">
        <v>1</v>
      </c>
      <c r="M7" t="s">
        <v>7</v>
      </c>
      <c r="N7">
        <f>SUMIFS(D:D,(A:A),$A$2,(C:C),$C$2,(B:B),$B$14)</f>
        <v>93664.65</v>
      </c>
      <c r="O7">
        <f>SUMIFS(E:E,(A:A),$A$2,(C:C),$C$2,(B:B),$B$14)</f>
        <v>99038.18</v>
      </c>
      <c r="P7">
        <f>SUMIFS(F:F,(A:A),$A$2,(C:C),$C$2,(B:B),$B$14)</f>
        <v>105900.34</v>
      </c>
      <c r="Q7">
        <f>SUMIFS(G:G,(A:A),$A$2,(C:C),$C$2,(B:B),$B$14)</f>
        <v>-12235.690000000002</v>
      </c>
      <c r="R7">
        <f t="shared" si="1"/>
        <v>-0.11553966682259942</v>
      </c>
    </row>
    <row r="8" spans="1:18">
      <c r="A8">
        <v>2024</v>
      </c>
      <c r="B8" t="s">
        <v>5</v>
      </c>
      <c r="C8">
        <v>3</v>
      </c>
      <c r="D8" s="2">
        <v>42503.06</v>
      </c>
      <c r="E8" s="2">
        <v>44444.3</v>
      </c>
      <c r="F8" s="2">
        <v>42652.11</v>
      </c>
      <c r="G8" s="2">
        <f t="shared" si="0"/>
        <v>-149.05000000000291</v>
      </c>
      <c r="K8">
        <v>2024</v>
      </c>
      <c r="L8">
        <v>2</v>
      </c>
      <c r="M8" t="s">
        <v>4</v>
      </c>
      <c r="N8">
        <f>SUMIFS(D:D,(A:A),$A$2,(C:C),$C$3,(B:B),$B$2)</f>
        <v>79918.89</v>
      </c>
      <c r="O8">
        <f>SUMIFS(E:E,(A:A),$A$2,(C:C),$C$3,(B:B),$B$2)</f>
        <v>84614.59</v>
      </c>
      <c r="P8">
        <f>SUMIFS(F:F,(A:A),$A$2,(C:C),$C$3,(B:B),$B$2)</f>
        <v>86720.13</v>
      </c>
      <c r="Q8">
        <f>SUMIFS(G:G,(A:A),$A$2,(C:C),$C$3,(B:B),$B$2)</f>
        <v>-6801.2400000000052</v>
      </c>
      <c r="R8">
        <f t="shared" si="1"/>
        <v>-7.8427465456982204E-2</v>
      </c>
    </row>
    <row r="9" spans="1:18">
      <c r="A9">
        <v>2024</v>
      </c>
      <c r="B9" t="s">
        <v>5</v>
      </c>
      <c r="C9">
        <v>4</v>
      </c>
      <c r="D9" s="2">
        <v>31047.85</v>
      </c>
      <c r="E9" s="2">
        <v>32495.4</v>
      </c>
      <c r="F9" s="2">
        <v>33408.69</v>
      </c>
      <c r="G9" s="2">
        <f t="shared" si="0"/>
        <v>-2360.8400000000038</v>
      </c>
      <c r="K9">
        <v>2024</v>
      </c>
      <c r="L9">
        <v>2</v>
      </c>
      <c r="M9" t="s">
        <v>5</v>
      </c>
      <c r="N9">
        <f>SUMIFS(D:D,(A:A),$A$2,(C:C),$C$3,(B:B),$B$6)</f>
        <v>75074.820000000007</v>
      </c>
      <c r="O9">
        <f>SUMIFS(E:E,(A:A),$A$2,(C:C),$C$3,(B:B),$B$6)</f>
        <v>68249.88</v>
      </c>
      <c r="P9">
        <f>SUMIFS(F:F,(A:A),$A$2,(C:C),$C$3,(B:B),$B$6)</f>
        <v>68953.81</v>
      </c>
      <c r="Q9">
        <f>SUMIFS(G:G,(A:A),$A$2,(C:C),$C$3,(B:B),$B$6)</f>
        <v>6121.0100000000093</v>
      </c>
      <c r="R9">
        <f t="shared" si="1"/>
        <v>8.8769714102817643E-2</v>
      </c>
    </row>
    <row r="10" spans="1:18">
      <c r="A10">
        <v>2024</v>
      </c>
      <c r="B10" t="s">
        <v>6</v>
      </c>
      <c r="C10">
        <v>1</v>
      </c>
      <c r="D10" s="2">
        <v>26040.63</v>
      </c>
      <c r="E10" s="2">
        <v>24585.53</v>
      </c>
      <c r="F10" s="2">
        <v>22752.02</v>
      </c>
      <c r="G10" s="2">
        <f t="shared" si="0"/>
        <v>3288.6100000000006</v>
      </c>
      <c r="K10">
        <v>2024</v>
      </c>
      <c r="L10">
        <v>2</v>
      </c>
      <c r="M10" t="s">
        <v>6</v>
      </c>
      <c r="N10">
        <f>SUMIFS(D:D,(A:A),$A$2,(C:C),$C$3,(B:B),$B$10)</f>
        <v>125902.24</v>
      </c>
      <c r="O10">
        <f>SUMIFS(E:E,(A:A),$A$2,(C:C),$C$3,(B:B),$B$10)</f>
        <v>121557.94</v>
      </c>
      <c r="P10">
        <f>SUMIFS(F:F,(A:A),$A$2,(C:C),$C$3,(B:B),$B$10)</f>
        <v>119490.08</v>
      </c>
      <c r="Q10">
        <f>SUMIFS(G:G,(A:A),$A$2,(C:C),$C$3,(B:B),$B$10)</f>
        <v>6412.1600000000035</v>
      </c>
      <c r="R10">
        <f t="shared" si="1"/>
        <v>5.3662697355295164E-2</v>
      </c>
    </row>
    <row r="11" spans="1:18">
      <c r="A11">
        <v>2024</v>
      </c>
      <c r="B11" t="s">
        <v>6</v>
      </c>
      <c r="C11">
        <v>2</v>
      </c>
      <c r="D11" s="2">
        <v>125902.24</v>
      </c>
      <c r="E11" s="2">
        <v>121557.94</v>
      </c>
      <c r="F11" s="2">
        <v>119490.08</v>
      </c>
      <c r="G11" s="2">
        <f t="shared" si="0"/>
        <v>6412.1600000000035</v>
      </c>
      <c r="K11">
        <v>2024</v>
      </c>
      <c r="L11">
        <v>2</v>
      </c>
      <c r="M11" t="s">
        <v>8</v>
      </c>
      <c r="N11">
        <f>SUMIFS(D:D,(A:A),$A$2,(C:C),$C$3,(B:B),$B$18)</f>
        <v>112743.3</v>
      </c>
      <c r="O11">
        <f>SUMIFS(E:E,(A:A),$A$2,(C:C),$C$3,(B:B),$B$18)</f>
        <v>119526.72</v>
      </c>
      <c r="P11">
        <f>SUMIFS(F:F,(A:A),$A$2,(C:C),$C$3,(B:B),$B$18)</f>
        <v>125960.5</v>
      </c>
      <c r="Q11">
        <f>SUMIFS(G:G,(A:A),$A$2,(C:C),$C$3,(B:B),$B$18)</f>
        <v>-13217.199999999997</v>
      </c>
      <c r="R11">
        <f t="shared" si="1"/>
        <v>-0.10493130783062943</v>
      </c>
    </row>
    <row r="12" spans="1:18">
      <c r="A12">
        <v>2024</v>
      </c>
      <c r="B12" t="s">
        <v>6</v>
      </c>
      <c r="C12">
        <v>3</v>
      </c>
      <c r="D12" s="2">
        <v>100055.73</v>
      </c>
      <c r="E12" s="2">
        <v>92809.65</v>
      </c>
      <c r="F12" s="2">
        <v>94502.07</v>
      </c>
      <c r="G12" s="2">
        <f t="shared" si="0"/>
        <v>5553.6599999999889</v>
      </c>
      <c r="K12">
        <v>2024</v>
      </c>
      <c r="L12">
        <v>2</v>
      </c>
      <c r="M12" t="s">
        <v>9</v>
      </c>
      <c r="N12">
        <f>SUMIFS(D:D,(A:A),$A$2,(C:C),$C$3,(B:B),$B$22)</f>
        <v>51361.43</v>
      </c>
      <c r="O12">
        <f>SUMIFS(E:E,(A:A),$A$2,(C:C),$C$3,(B:B),$B$22)</f>
        <v>49600.67</v>
      </c>
      <c r="P12">
        <f>SUMIFS(F:F,(A:A),$A$2,(C:C),$C$3,(B:B),$B$22)</f>
        <v>50515.69</v>
      </c>
      <c r="Q12">
        <f>SUMIFS(G:G,(A:A),$A$2,(C:C),$C$3,(B:B),$B$22)</f>
        <v>845.73999999999796</v>
      </c>
      <c r="R12">
        <f t="shared" si="1"/>
        <v>1.6742125070448477E-2</v>
      </c>
    </row>
    <row r="13" spans="1:18">
      <c r="A13">
        <v>2024</v>
      </c>
      <c r="B13" t="s">
        <v>6</v>
      </c>
      <c r="C13">
        <v>4</v>
      </c>
      <c r="D13" s="2">
        <v>72786.960000000006</v>
      </c>
      <c r="E13" s="2">
        <v>70901.78</v>
      </c>
      <c r="F13" s="2">
        <v>72262.039999999994</v>
      </c>
      <c r="G13" s="2">
        <f t="shared" si="0"/>
        <v>524.92000000001281</v>
      </c>
      <c r="K13">
        <v>2024</v>
      </c>
      <c r="L13">
        <v>2</v>
      </c>
      <c r="M13" t="s">
        <v>7</v>
      </c>
      <c r="N13">
        <f>SUMIFS(D:D,(A:A),$A$2,(C:C),$C$3,(B:B),$B$14)</f>
        <v>115140.75</v>
      </c>
      <c r="O13">
        <f>SUMIFS(E:E,(A:A),$A$2,(C:C),$C$3,(B:B),$B$14)</f>
        <v>115151.74</v>
      </c>
      <c r="P13">
        <f>SUMIFS(F:F,(A:A),$A$2,(C:C),$C$3,(B:B),$B$14)</f>
        <v>124609.39</v>
      </c>
      <c r="Q13">
        <f>SUMIFS(G:G,(A:A),$A$2,(C:C),$C$3,(B:B),$B$14)</f>
        <v>-9468.64</v>
      </c>
      <c r="R13">
        <f t="shared" si="1"/>
        <v>-7.5986568909453767E-2</v>
      </c>
    </row>
    <row r="14" spans="1:18">
      <c r="A14">
        <v>2024</v>
      </c>
      <c r="B14" t="s">
        <v>7</v>
      </c>
      <c r="C14">
        <v>1</v>
      </c>
      <c r="D14" s="2">
        <v>93664.65</v>
      </c>
      <c r="E14" s="2">
        <v>99038.18</v>
      </c>
      <c r="F14" s="2">
        <v>105900.34</v>
      </c>
      <c r="G14" s="2">
        <f t="shared" si="0"/>
        <v>-12235.690000000002</v>
      </c>
      <c r="K14">
        <v>2024</v>
      </c>
      <c r="L14">
        <v>3</v>
      </c>
      <c r="M14" t="s">
        <v>4</v>
      </c>
      <c r="N14">
        <f>SUMIFS(D:D,(A:A),$A$2,(C:C),$C$4,(B:B),$B$2)</f>
        <v>92014.18</v>
      </c>
      <c r="O14">
        <f>SUMIFS(E:E,(A:A),$A$2,(C:C),$C$4,(B:B),$B$2)</f>
        <v>100763.08</v>
      </c>
      <c r="P14">
        <f>SUMIFS(F:F,(A:A),$A$2,(C:C),$C$4,(B:B),$B$2)</f>
        <v>105980.31</v>
      </c>
      <c r="Q14">
        <f>SUMIFS(G:G,(A:A),$A$2,(C:C),$C$4,(B:B),$B$2)</f>
        <v>-13966.130000000005</v>
      </c>
      <c r="R14">
        <f t="shared" si="1"/>
        <v>-0.13178042223126163</v>
      </c>
    </row>
    <row r="15" spans="1:18">
      <c r="A15">
        <v>2024</v>
      </c>
      <c r="B15" t="s">
        <v>7</v>
      </c>
      <c r="C15">
        <v>2</v>
      </c>
      <c r="D15" s="2">
        <v>115140.75</v>
      </c>
      <c r="E15" s="2">
        <v>115151.74</v>
      </c>
      <c r="F15" s="2">
        <v>124609.39</v>
      </c>
      <c r="G15" s="2">
        <f t="shared" si="0"/>
        <v>-9468.64</v>
      </c>
      <c r="K15">
        <v>2024</v>
      </c>
      <c r="L15">
        <v>3</v>
      </c>
      <c r="M15" t="s">
        <v>5</v>
      </c>
      <c r="N15">
        <f>SUMIFS(D:D,(A:A),$A$2,(C:C),$C$4,(B:B),$B$6)</f>
        <v>42503.06</v>
      </c>
      <c r="O15">
        <f>SUMIFS(E:E,(A:A),$A$2,(C:C),$C$4,(B:B),$B$6)</f>
        <v>44444.3</v>
      </c>
      <c r="P15">
        <f>SUMIFS(F:F,(A:A),$A$2,(C:C),$C$4,(B:B),$B$6)</f>
        <v>42652.11</v>
      </c>
      <c r="Q15">
        <f>SUMIFS(G:G,(A:A),$A$2,(C:C),$C$4,(B:B),$B$6)</f>
        <v>-149.05000000000291</v>
      </c>
      <c r="R15">
        <f t="shared" si="1"/>
        <v>-3.4945516177278257E-3</v>
      </c>
    </row>
    <row r="16" spans="1:18">
      <c r="A16">
        <v>2024</v>
      </c>
      <c r="B16" t="s">
        <v>7</v>
      </c>
      <c r="C16">
        <v>3</v>
      </c>
      <c r="D16" s="2">
        <v>73898.42</v>
      </c>
      <c r="E16" s="2">
        <v>73799.149999999994</v>
      </c>
      <c r="F16" s="2">
        <v>78992.61</v>
      </c>
      <c r="G16" s="2">
        <f t="shared" si="0"/>
        <v>-5094.1900000000023</v>
      </c>
      <c r="K16">
        <v>2024</v>
      </c>
      <c r="L16">
        <v>3</v>
      </c>
      <c r="M16" t="s">
        <v>6</v>
      </c>
      <c r="N16">
        <f>SUMIFS(D:D,(A:A),$A$2,(C:C),$C$4,(B:B),$B$10)</f>
        <v>100055.73</v>
      </c>
      <c r="O16">
        <f>SUMIFS(E:E,(A:A),$A$2,(C:C),$C$4,(B:B),$B$10)</f>
        <v>92809.65</v>
      </c>
      <c r="P16">
        <f>SUMIFS(F:F,(A:A),$A$2,(C:C),$C$4,(B:B),$B$10)</f>
        <v>94502.07</v>
      </c>
      <c r="Q16">
        <f>SUMIFS(G:G,(A:A),$A$2,(C:C),$C$4,(B:B),$B$10)</f>
        <v>5553.6599999999889</v>
      </c>
      <c r="R16">
        <f t="shared" si="1"/>
        <v>5.8767601598568087E-2</v>
      </c>
    </row>
    <row r="17" spans="1:39">
      <c r="A17">
        <v>2024</v>
      </c>
      <c r="B17" t="s">
        <v>7</v>
      </c>
      <c r="C17">
        <v>4</v>
      </c>
      <c r="D17" s="2">
        <v>46637.67</v>
      </c>
      <c r="E17" s="2">
        <v>49635.65</v>
      </c>
      <c r="F17" s="2">
        <v>46802.25</v>
      </c>
      <c r="G17" s="2">
        <f t="shared" si="0"/>
        <v>-164.58000000000175</v>
      </c>
      <c r="K17">
        <v>2024</v>
      </c>
      <c r="L17">
        <v>3</v>
      </c>
      <c r="M17" t="s">
        <v>8</v>
      </c>
      <c r="N17">
        <f>SUMIFS(D:D,(A:A),$A$2,(C:C),$C$4,(B:B),$B$18)</f>
        <v>141475.81</v>
      </c>
      <c r="O17">
        <f>SUMIFS(E:E,(A:A),$A$2,(C:C),$C$4,(B:B),$B$18)</f>
        <v>133345.42000000001</v>
      </c>
      <c r="P17">
        <f>SUMIFS(F:F,(A:A),$A$2,(C:C),$C$4,(B:B),$B$18)</f>
        <v>140285.03</v>
      </c>
      <c r="Q17">
        <f>SUMIFS(G:G,(A:A),$A$2,(C:C),$C$4,(B:B),$B$18)</f>
        <v>1190.7799999999988</v>
      </c>
      <c r="R17">
        <f t="shared" si="1"/>
        <v>8.4882898766889259E-3</v>
      </c>
    </row>
    <row r="18" spans="1:39">
      <c r="A18">
        <v>2024</v>
      </c>
      <c r="B18" t="s">
        <v>8</v>
      </c>
      <c r="C18">
        <v>1</v>
      </c>
      <c r="D18" s="2">
        <v>44332.15</v>
      </c>
      <c r="E18" s="2">
        <v>41613.82</v>
      </c>
      <c r="F18" s="2">
        <v>38572.49</v>
      </c>
      <c r="G18" s="2">
        <f t="shared" si="0"/>
        <v>5759.6600000000035</v>
      </c>
      <c r="K18">
        <v>2024</v>
      </c>
      <c r="L18">
        <v>3</v>
      </c>
      <c r="M18" t="s">
        <v>9</v>
      </c>
      <c r="N18">
        <f>SUMIFS(D:D,(A:A),$A$2,(C:C),$C$4,(B:B),$B$22)</f>
        <v>29263.69</v>
      </c>
      <c r="O18">
        <f>SUMIFS(E:E,(A:A),$A$2,(C:C),$C$4,(B:B),$B$22)</f>
        <v>28094.51</v>
      </c>
      <c r="P18">
        <f>SUMIFS(F:F,(A:A),$A$2,(C:C),$C$4,(B:B),$B$22)</f>
        <v>28496.35</v>
      </c>
      <c r="Q18">
        <f>SUMIFS(G:G,(A:A),$A$2,(C:C),$C$4,(B:B),$B$22)</f>
        <v>767.34000000000015</v>
      </c>
      <c r="R18">
        <f t="shared" si="1"/>
        <v>2.6927659156348094E-2</v>
      </c>
      <c r="S18" s="5"/>
      <c r="T18" s="5"/>
      <c r="U18" s="5"/>
      <c r="V18" s="5"/>
      <c r="W18" s="5"/>
      <c r="X18" s="5"/>
      <c r="Y18" s="5"/>
      <c r="Z18" s="5"/>
      <c r="AA18" s="5"/>
      <c r="AB18" s="5"/>
      <c r="AC18" s="5"/>
      <c r="AD18" s="5"/>
      <c r="AE18" s="5"/>
      <c r="AF18" s="5"/>
      <c r="AG18" s="5"/>
      <c r="AH18" s="5"/>
      <c r="AI18" s="5"/>
      <c r="AJ18" s="5"/>
      <c r="AK18" s="5"/>
      <c r="AL18" s="5"/>
      <c r="AM18" s="5"/>
    </row>
    <row r="19" spans="1:39">
      <c r="A19">
        <v>2024</v>
      </c>
      <c r="B19" t="s">
        <v>8</v>
      </c>
      <c r="C19">
        <v>2</v>
      </c>
      <c r="D19" s="2">
        <v>112743.3</v>
      </c>
      <c r="E19" s="2">
        <v>119526.72</v>
      </c>
      <c r="F19" s="2">
        <v>125960.5</v>
      </c>
      <c r="G19" s="2">
        <f t="shared" si="0"/>
        <v>-13217.199999999997</v>
      </c>
      <c r="K19">
        <v>2024</v>
      </c>
      <c r="L19">
        <v>3</v>
      </c>
      <c r="M19" t="s">
        <v>7</v>
      </c>
      <c r="N19">
        <f>SUMIFS(D:D,(A:A),$A$2,(C:C),$C$4,(B:B),$B$14)</f>
        <v>73898.42</v>
      </c>
      <c r="O19">
        <f>SUMIFS(E:E,(A:A),$A$2,(C:C),$C$4,(B:B),$B$14)</f>
        <v>73799.149999999994</v>
      </c>
      <c r="P19">
        <f>SUMIFS(F:F,(A:A),$A$2,(C:C),$C$4,(B:B),$B$14)</f>
        <v>78992.61</v>
      </c>
      <c r="Q19">
        <f>SUMIFS(G:G,(A:A),$A$2,(C:C),$C$4,(B:B),$B$14)</f>
        <v>-5094.1900000000023</v>
      </c>
      <c r="R19">
        <f t="shared" si="1"/>
        <v>-6.4489450342253618E-2</v>
      </c>
      <c r="S19" s="5"/>
      <c r="T19" s="5"/>
      <c r="U19" s="5"/>
      <c r="V19" s="5"/>
      <c r="W19" s="5"/>
      <c r="X19" s="5"/>
      <c r="Y19" s="5"/>
      <c r="Z19" s="5"/>
      <c r="AA19" s="5"/>
      <c r="AB19" s="5"/>
      <c r="AC19" s="5"/>
      <c r="AD19" s="5"/>
      <c r="AE19" s="5"/>
      <c r="AF19" s="5"/>
      <c r="AG19" s="5"/>
      <c r="AH19" s="5"/>
      <c r="AI19" s="5"/>
      <c r="AJ19" s="5"/>
      <c r="AK19" s="5"/>
      <c r="AL19" s="5"/>
      <c r="AM19" s="5"/>
    </row>
    <row r="20" spans="1:39">
      <c r="A20">
        <v>2024</v>
      </c>
      <c r="B20" t="s">
        <v>8</v>
      </c>
      <c r="C20">
        <v>3</v>
      </c>
      <c r="D20" s="2">
        <v>141475.81</v>
      </c>
      <c r="E20" s="2">
        <v>133345.42000000001</v>
      </c>
      <c r="F20" s="2">
        <v>140285.03</v>
      </c>
      <c r="G20" s="2">
        <f t="shared" si="0"/>
        <v>1190.7799999999988</v>
      </c>
      <c r="K20">
        <v>2024</v>
      </c>
      <c r="L20">
        <v>4</v>
      </c>
      <c r="M20" t="s">
        <v>4</v>
      </c>
      <c r="N20">
        <f>SUMIFS(D:D,(A:A),$A$2,(C:C),$C$5,(B:B),$B$2)</f>
        <v>117680.6</v>
      </c>
      <c r="O20">
        <f>SUMIFS(E:E,(A:A),$A$2,(C:C),$C$5,(B:B),$B$2)</f>
        <v>106162.49</v>
      </c>
      <c r="P20">
        <f>SUMIFS(F:F,(A:A),$A$2,(C:C),$C$5,(B:B),$B$2)</f>
        <v>96071.26</v>
      </c>
      <c r="Q20">
        <f>SUMIFS(G:G,(A:A),$A$2,(C:C),$C$5,(B:B),$B$2)</f>
        <v>21609.340000000011</v>
      </c>
      <c r="R20">
        <f t="shared" si="1"/>
        <v>0.22493032775879085</v>
      </c>
      <c r="S20" s="5"/>
      <c r="T20" s="5"/>
      <c r="U20" s="5"/>
      <c r="V20" s="5"/>
      <c r="W20" s="5"/>
      <c r="X20" s="5"/>
      <c r="Y20" s="5"/>
      <c r="Z20" s="5"/>
      <c r="AA20" s="5"/>
      <c r="AB20" s="5"/>
      <c r="AC20" s="5"/>
      <c r="AD20" s="5"/>
      <c r="AE20" s="5"/>
      <c r="AF20" s="5"/>
      <c r="AG20" s="5"/>
      <c r="AH20" s="5"/>
      <c r="AI20" s="5"/>
      <c r="AJ20" s="5"/>
      <c r="AK20" s="5"/>
      <c r="AL20" s="5"/>
      <c r="AM20" s="5"/>
    </row>
    <row r="21" spans="1:39">
      <c r="A21">
        <v>2024</v>
      </c>
      <c r="B21" t="s">
        <v>8</v>
      </c>
      <c r="C21">
        <v>4</v>
      </c>
      <c r="D21" s="2">
        <v>102519.44</v>
      </c>
      <c r="E21" s="2">
        <v>107453.3</v>
      </c>
      <c r="F21" s="2">
        <v>115251.53</v>
      </c>
      <c r="G21" s="2">
        <f t="shared" si="0"/>
        <v>-12732.089999999997</v>
      </c>
      <c r="K21">
        <v>2024</v>
      </c>
      <c r="L21">
        <v>4</v>
      </c>
      <c r="M21" t="s">
        <v>5</v>
      </c>
      <c r="N21">
        <f>SUMIFS(D:D,(A:A),$A$2,(C:C),$C$5,(B:B),$B$6)</f>
        <v>31047.85</v>
      </c>
      <c r="O21">
        <f>SUMIFS(E:E,(A:A),$A$2,(C:C),$C$5,(B:B),$B$6)</f>
        <v>32495.4</v>
      </c>
      <c r="P21">
        <f>SUMIFS(F:F,(A:A),$A$2,(C:C),$C$5,(B:B),$B$6)</f>
        <v>33408.69</v>
      </c>
      <c r="Q21">
        <f>SUMIFS(G:G,(A:A),$A$2,(C:C),$C$5,(B:B),$B$6)</f>
        <v>-2360.8400000000038</v>
      </c>
      <c r="R21">
        <f t="shared" si="1"/>
        <v>-7.0665446624815442E-2</v>
      </c>
    </row>
    <row r="22" spans="1:39">
      <c r="A22">
        <v>2024</v>
      </c>
      <c r="B22" t="s">
        <v>9</v>
      </c>
      <c r="C22">
        <v>1</v>
      </c>
      <c r="D22" s="2">
        <v>100318.84</v>
      </c>
      <c r="E22" s="2">
        <v>99411.77</v>
      </c>
      <c r="F22" s="2">
        <v>102349.27</v>
      </c>
      <c r="G22" s="2">
        <f t="shared" si="0"/>
        <v>-2030.4300000000076</v>
      </c>
      <c r="K22">
        <v>2024</v>
      </c>
      <c r="L22">
        <v>4</v>
      </c>
      <c r="M22" t="s">
        <v>6</v>
      </c>
      <c r="N22">
        <f>SUMIFS(D:D,(A:A),$A$2,(C:C),$C$5,(B:B),$B$10)</f>
        <v>72786.960000000006</v>
      </c>
      <c r="O22">
        <f>SUMIFS(E:E,(A:A),$A$2,(C:C),$C$5,(B:B),$B$10)</f>
        <v>70901.78</v>
      </c>
      <c r="P22">
        <f>SUMIFS(F:F,(A:A),$A$2,(C:C),$C$5,(B:B),$B$10)</f>
        <v>72262.039999999994</v>
      </c>
      <c r="Q22">
        <f>SUMIFS(G:G,(A:A),$A$2,(C:C),$C$5,(B:B),$B$10)</f>
        <v>524.92000000001281</v>
      </c>
      <c r="R22">
        <f t="shared" si="1"/>
        <v>7.2641182009256511E-3</v>
      </c>
    </row>
    <row r="23" spans="1:39">
      <c r="A23">
        <v>2024</v>
      </c>
      <c r="B23" t="s">
        <v>9</v>
      </c>
      <c r="C23">
        <v>2</v>
      </c>
      <c r="D23" s="2">
        <v>51361.43</v>
      </c>
      <c r="E23" s="2">
        <v>49600.67</v>
      </c>
      <c r="F23" s="2">
        <v>50515.69</v>
      </c>
      <c r="G23" s="2">
        <f t="shared" si="0"/>
        <v>845.73999999999796</v>
      </c>
      <c r="K23">
        <v>2024</v>
      </c>
      <c r="L23">
        <v>4</v>
      </c>
      <c r="M23" t="s">
        <v>8</v>
      </c>
      <c r="N23">
        <f>SUMIFS(D:D,(A:A),$A$2,(C:C),$C$5,(B:B),$B$18)</f>
        <v>102519.44</v>
      </c>
      <c r="O23">
        <f>SUMIFS(E:E,(A:A),$A$2,(C:C),$C$5,(B:B),$B$18)</f>
        <v>107453.3</v>
      </c>
      <c r="P23">
        <f>SUMIFS(F:F,(A:A),$A$2,(C:C),$C$5,(B:B),$B$18)</f>
        <v>115251.53</v>
      </c>
      <c r="Q23">
        <f>SUMIFS(G:G,(A:A),$A$2,(C:C),$C$5,(B:B),$B$18)</f>
        <v>-12732.089999999997</v>
      </c>
      <c r="R23">
        <f t="shared" si="1"/>
        <v>-0.11047219937123609</v>
      </c>
    </row>
    <row r="24" spans="1:39">
      <c r="A24">
        <v>2024</v>
      </c>
      <c r="B24" t="s">
        <v>9</v>
      </c>
      <c r="C24">
        <v>3</v>
      </c>
      <c r="D24" s="2">
        <v>29263.69</v>
      </c>
      <c r="E24" s="2">
        <v>28094.51</v>
      </c>
      <c r="F24" s="2">
        <v>28496.35</v>
      </c>
      <c r="G24" s="2">
        <f t="shared" si="0"/>
        <v>767.34000000000015</v>
      </c>
      <c r="K24">
        <v>2024</v>
      </c>
      <c r="L24">
        <v>4</v>
      </c>
      <c r="M24" t="s">
        <v>9</v>
      </c>
      <c r="N24">
        <f>SUMIFS(D:D,(A:A),$A$2,(C:C),$C$5,(B:B),$B$22)</f>
        <v>146937.60999999999</v>
      </c>
      <c r="O24">
        <f>SUMIFS(E:E,(A:A),$A$2,(C:C),$C$5,(B:B),$B$22)</f>
        <v>139057.76</v>
      </c>
      <c r="P24">
        <f>SUMIFS(F:F,(A:A),$A$2,(C:C),$C$5,(B:B),$B$22)</f>
        <v>147123.70000000001</v>
      </c>
      <c r="Q24">
        <f>SUMIFS(G:G,(A:A),$A$2,(C:C),$C$5,(B:B),$B$22)</f>
        <v>-186.09000000002561</v>
      </c>
      <c r="R24">
        <f t="shared" si="1"/>
        <v>-1.2648539970108175E-3</v>
      </c>
    </row>
    <row r="25" spans="1:39">
      <c r="A25">
        <v>2024</v>
      </c>
      <c r="B25" t="s">
        <v>9</v>
      </c>
      <c r="C25">
        <v>4</v>
      </c>
      <c r="D25" s="2">
        <v>146937.60999999999</v>
      </c>
      <c r="E25" s="2">
        <v>139057.76</v>
      </c>
      <c r="F25" s="2">
        <v>147123.70000000001</v>
      </c>
      <c r="G25" s="2">
        <f t="shared" si="0"/>
        <v>-186.09000000002561</v>
      </c>
      <c r="K25">
        <v>2024</v>
      </c>
      <c r="L25">
        <v>4</v>
      </c>
      <c r="M25" t="s">
        <v>7</v>
      </c>
      <c r="N25">
        <f>SUMIFS(D:D,(A:A),$A$2,(C:C),$C$5,(B:B),$B$14)</f>
        <v>46637.67</v>
      </c>
      <c r="O25">
        <f>SUMIFS(E:E,(A:A),$A$2,(C:C),$C$5,(B:B),$B$14)</f>
        <v>49635.65</v>
      </c>
      <c r="P25">
        <f>SUMIFS(F:F,(A:A),$A$2,(C:C),$C$5,(B:B),$B$14)</f>
        <v>46802.25</v>
      </c>
      <c r="Q25">
        <f>SUMIFS(G:G,(A:A),$A$2,(C:C),$C$5,(B:B),$B$14)</f>
        <v>-164.58000000000175</v>
      </c>
      <c r="R25">
        <f t="shared" si="1"/>
        <v>-3.5164976042818541E-3</v>
      </c>
    </row>
    <row r="26" spans="1:39">
      <c r="A26">
        <v>2025</v>
      </c>
      <c r="B26" t="s">
        <v>4</v>
      </c>
      <c r="C26">
        <v>1</v>
      </c>
      <c r="D26" s="2">
        <v>70700.52</v>
      </c>
      <c r="E26" s="2">
        <v>71487.460000000006</v>
      </c>
      <c r="F26" s="2">
        <v>70006.17</v>
      </c>
      <c r="G26" s="2">
        <f t="shared" si="0"/>
        <v>694.35000000000582</v>
      </c>
      <c r="K26">
        <v>2025</v>
      </c>
      <c r="L26">
        <v>1</v>
      </c>
      <c r="M26" t="s">
        <v>4</v>
      </c>
      <c r="N26">
        <f>SUMIFS(D:D,(A:A),$A$26,(C:C),$C$2,(B:B),$B$2)</f>
        <v>70700.52</v>
      </c>
      <c r="O26">
        <f>SUMIFS(E:E,(A:A),$A$26,(C:C),$C$2,(B:B),$B$2)</f>
        <v>71487.460000000006</v>
      </c>
      <c r="P26">
        <f>SUMIFS(F:F,(A:A),$A$26,(C:C),$C$2,(B:B),$B$2)</f>
        <v>70006.17</v>
      </c>
      <c r="Q26">
        <f>SUMIFS(G:G,(A:A),$A$26,(C:C),$C$2,(B:B),$B$2)</f>
        <v>694.35000000000582</v>
      </c>
      <c r="R26">
        <f t="shared" si="1"/>
        <v>9.918411477159772E-3</v>
      </c>
    </row>
    <row r="27" spans="1:39">
      <c r="A27">
        <v>2025</v>
      </c>
      <c r="B27" t="s">
        <v>4</v>
      </c>
      <c r="C27">
        <v>2</v>
      </c>
      <c r="D27" s="2">
        <v>61495.92</v>
      </c>
      <c r="E27" s="2">
        <v>56931.54</v>
      </c>
      <c r="F27" s="2">
        <v>61359.25</v>
      </c>
      <c r="G27" s="2">
        <f t="shared" si="0"/>
        <v>136.66999999999825</v>
      </c>
      <c r="K27">
        <v>2025</v>
      </c>
      <c r="L27">
        <v>1</v>
      </c>
      <c r="M27" t="s">
        <v>5</v>
      </c>
      <c r="N27">
        <f>SUMIFS(D:D,(A:A),$A$30,(C:C),$C$2,(B:B),$B$6)</f>
        <v>81015.75</v>
      </c>
      <c r="O27">
        <f>SUMIFS(E:E,(A:A),$A$30,(C:C),$C$2,(B:B),$B$6)</f>
        <v>81988.100000000006</v>
      </c>
      <c r="P27">
        <f>SUMIFS(F:F,(A:A),$A$30,(C:C),$C$2,(B:B),$B$6)</f>
        <v>86451.22</v>
      </c>
      <c r="Q27">
        <f>SUMIFS(G:G,(A:A),$A$30,(C:C),$C$2,(B:B),$B$6)</f>
        <v>-5435.4700000000012</v>
      </c>
      <c r="R27">
        <f t="shared" si="1"/>
        <v>-6.2873259625485955E-2</v>
      </c>
    </row>
    <row r="28" spans="1:39">
      <c r="A28">
        <v>2025</v>
      </c>
      <c r="B28" t="s">
        <v>4</v>
      </c>
      <c r="C28">
        <v>3</v>
      </c>
      <c r="D28" s="2">
        <v>55254.78</v>
      </c>
      <c r="E28" s="2">
        <v>57681.72</v>
      </c>
      <c r="F28" s="2">
        <v>57575</v>
      </c>
      <c r="G28" s="2">
        <f t="shared" si="0"/>
        <v>-2320.2200000000012</v>
      </c>
      <c r="K28">
        <v>2025</v>
      </c>
      <c r="L28">
        <v>1</v>
      </c>
      <c r="M28" t="s">
        <v>6</v>
      </c>
      <c r="N28">
        <f>SUMIFS(D:D,(A:A),$A$34,(C:C),$C$2,(B:B),$B$10)</f>
        <v>116604.87</v>
      </c>
      <c r="O28">
        <f>SUMIFS(E:E,(A:A),$A$34,(C:C),$C$2,(B:B),$B$10)</f>
        <v>125973.73</v>
      </c>
      <c r="P28">
        <f>SUMIFS(F:F,(A:A),$A$34,(C:C),$C$2,(B:B),$B$10)</f>
        <v>128463.24</v>
      </c>
      <c r="Q28">
        <f>SUMIFS(G:G,(A:A),$A$34,(C:C),$C$2,(B:B),$B$10)</f>
        <v>-11858.37000000001</v>
      </c>
      <c r="R28">
        <f t="shared" si="1"/>
        <v>-9.2309441985115814E-2</v>
      </c>
    </row>
    <row r="29" spans="1:39">
      <c r="A29">
        <v>2025</v>
      </c>
      <c r="B29" t="s">
        <v>4</v>
      </c>
      <c r="C29">
        <v>4</v>
      </c>
      <c r="D29" s="2">
        <v>124523.7</v>
      </c>
      <c r="E29" s="2">
        <v>112740.47</v>
      </c>
      <c r="F29" s="2">
        <v>118711.72</v>
      </c>
      <c r="G29" s="2">
        <f t="shared" si="0"/>
        <v>5811.9799999999959</v>
      </c>
      <c r="K29">
        <v>2025</v>
      </c>
      <c r="L29">
        <v>1</v>
      </c>
      <c r="M29" t="s">
        <v>8</v>
      </c>
      <c r="N29">
        <f>SUMIFS(D:D,(A:A),$A$42,(C:C),$C$2,(B:B),$B$18)</f>
        <v>75571.7</v>
      </c>
      <c r="O29">
        <f>SUMIFS(E:E,(A:A),$A$42,(C:C),$C$2,(B:B),$B$18)</f>
        <v>80720.77</v>
      </c>
      <c r="P29">
        <f>SUMIFS(F:F,(A:A),$A$42,(C:C),$C$2,(B:B),$B$18)</f>
        <v>86587.65</v>
      </c>
      <c r="Q29">
        <f>SUMIFS(G:G,(A:A),$A$2,(C:C),$C$2,(B:B),$B$18)</f>
        <v>5759.6600000000035</v>
      </c>
      <c r="R29">
        <f t="shared" si="1"/>
        <v>-0.1272231086072898</v>
      </c>
    </row>
    <row r="30" spans="1:39">
      <c r="A30">
        <v>2025</v>
      </c>
      <c r="B30" t="s">
        <v>5</v>
      </c>
      <c r="C30">
        <v>1</v>
      </c>
      <c r="D30" s="2">
        <v>81015.75</v>
      </c>
      <c r="E30" s="2">
        <v>81988.100000000006</v>
      </c>
      <c r="F30" s="2">
        <v>86451.22</v>
      </c>
      <c r="G30" s="2">
        <f t="shared" si="0"/>
        <v>-5435.4700000000012</v>
      </c>
      <c r="K30">
        <v>2025</v>
      </c>
      <c r="L30">
        <v>1</v>
      </c>
      <c r="M30" t="s">
        <v>9</v>
      </c>
      <c r="N30">
        <f>SUMIFS(D:D,(A:A),$A$47,(C:C),$C$2,(B:B),$B$22)</f>
        <v>64640.45</v>
      </c>
      <c r="O30">
        <f>SUMIFS(E:E,(A:A),$A$47,(C:C),$C$2,(B:B),$B$22)</f>
        <v>70051.16</v>
      </c>
      <c r="P30">
        <f>SUMIFS(F:F,(A:A),$A$47,(C:C),$C$2,(B:B),$B$22)</f>
        <v>66350.81</v>
      </c>
      <c r="Q30">
        <f>SUMIFS(G:G,(A:A),$A$47,(C:C),$C$2,(B:B),$B$22)</f>
        <v>-1710.3600000000006</v>
      </c>
      <c r="R30">
        <f t="shared" si="1"/>
        <v>-2.5777530070846155E-2</v>
      </c>
    </row>
    <row r="31" spans="1:39">
      <c r="A31">
        <v>2025</v>
      </c>
      <c r="B31" t="s">
        <v>5</v>
      </c>
      <c r="C31">
        <v>2</v>
      </c>
      <c r="D31" s="2">
        <v>55099.41</v>
      </c>
      <c r="E31" s="2">
        <v>51780.92</v>
      </c>
      <c r="F31" s="2">
        <v>56227.09</v>
      </c>
      <c r="G31" s="2">
        <f t="shared" si="0"/>
        <v>-1127.679999999993</v>
      </c>
      <c r="K31">
        <v>2025</v>
      </c>
      <c r="L31">
        <v>1</v>
      </c>
      <c r="M31" t="s">
        <v>7</v>
      </c>
      <c r="N31">
        <f>SUMIFS(D:D,(A:A),$A$38,(C:C),$C$2,(B:B),$B$14)</f>
        <v>89482.9</v>
      </c>
      <c r="O31">
        <f>SUMIFS(E:E,(A:A),$A$38,(C:C),$C$2,(B:B),$B$14)</f>
        <v>97911.07</v>
      </c>
      <c r="P31">
        <f>SUMIFS(F:F,(A:A),$A$38,(C:C),$C$2,(B:B),$B$14)</f>
        <v>98559.24</v>
      </c>
      <c r="Q31">
        <f>SUMIFS(G:G,(A:A),$A$38,(C:C),$C$2,(B:B),$B$14)</f>
        <v>-9076.3400000000111</v>
      </c>
      <c r="R31">
        <f t="shared" si="1"/>
        <v>-9.2090198747474261E-2</v>
      </c>
    </row>
    <row r="32" spans="1:39">
      <c r="A32">
        <v>2025</v>
      </c>
      <c r="B32" t="s">
        <v>5</v>
      </c>
      <c r="C32">
        <v>3</v>
      </c>
      <c r="D32" s="2">
        <v>120462.05</v>
      </c>
      <c r="E32" s="2">
        <v>127306.15</v>
      </c>
      <c r="F32" s="2">
        <v>128022.17</v>
      </c>
      <c r="G32" s="2">
        <f t="shared" si="0"/>
        <v>-7560.1199999999953</v>
      </c>
      <c r="K32">
        <v>2025</v>
      </c>
      <c r="L32">
        <v>2</v>
      </c>
      <c r="M32" t="s">
        <v>4</v>
      </c>
      <c r="N32">
        <f>SUMIFS(D:D,(A:A),$A$26,(C:C),$C$3,(B:B),$B$2)</f>
        <v>61495.92</v>
      </c>
      <c r="O32">
        <f>SUMIFS(E:E,(A:A),$A$26,(C:C),$C$3,(B:B),$B$2)</f>
        <v>56931.54</v>
      </c>
      <c r="P32">
        <f>SUMIFS(F:F,(A:A),$A$26,(C:C),$C$3,(B:B),$B$2)</f>
        <v>61359.25</v>
      </c>
      <c r="Q32">
        <f>SUMIFS(G:G,(A:A),$A$26,(C:C),$C$3,(B:B),$B$2)</f>
        <v>136.66999999999825</v>
      </c>
      <c r="R32">
        <f t="shared" si="1"/>
        <v>2.2273740308103029E-3</v>
      </c>
    </row>
    <row r="33" spans="1:18">
      <c r="A33">
        <v>2025</v>
      </c>
      <c r="B33" t="s">
        <v>5</v>
      </c>
      <c r="C33">
        <v>4</v>
      </c>
      <c r="D33" s="2">
        <v>90267.18</v>
      </c>
      <c r="E33" s="2">
        <v>85027.32</v>
      </c>
      <c r="F33" s="2">
        <v>88147.9</v>
      </c>
      <c r="G33" s="2">
        <f t="shared" si="0"/>
        <v>2119.2799999999988</v>
      </c>
      <c r="K33">
        <v>2025</v>
      </c>
      <c r="L33">
        <v>2</v>
      </c>
      <c r="M33" t="s">
        <v>5</v>
      </c>
      <c r="N33">
        <f>SUMIFS(D:D,(A:A),$A$30,(C:C),$C$3,(B:B),$B$6)</f>
        <v>55099.41</v>
      </c>
      <c r="O33">
        <f>SUMIFS(E:E,(A:A),$A$30,(C:C),$C$3,(B:B),$B$6)</f>
        <v>51780.92</v>
      </c>
      <c r="P33">
        <f>SUMIFS(F:F,(A:A),$A$30,(C:C),$C$3,(B:B),$B$6)</f>
        <v>56227.09</v>
      </c>
      <c r="Q33">
        <f>SUMIFS(G:G,(A:A),$A$30,(C:C),$C$3,(B:B),$B$6)</f>
        <v>-1127.679999999993</v>
      </c>
      <c r="R33">
        <f t="shared" si="1"/>
        <v>-2.0055812954218211E-2</v>
      </c>
    </row>
    <row r="34" spans="1:18">
      <c r="A34">
        <v>2025</v>
      </c>
      <c r="B34" t="s">
        <v>6</v>
      </c>
      <c r="C34">
        <v>1</v>
      </c>
      <c r="D34" s="2">
        <v>116604.87</v>
      </c>
      <c r="E34" s="2">
        <v>125973.73</v>
      </c>
      <c r="F34" s="2">
        <v>128463.24</v>
      </c>
      <c r="G34" s="2">
        <f t="shared" si="0"/>
        <v>-11858.37000000001</v>
      </c>
      <c r="K34">
        <v>2025</v>
      </c>
      <c r="L34">
        <v>2</v>
      </c>
      <c r="M34" t="s">
        <v>6</v>
      </c>
      <c r="N34">
        <f>SUMIFS(D:D,(A:A),$A$34,(C:C),$C$3,(B:B),$B$10)</f>
        <v>48595.51</v>
      </c>
      <c r="O34">
        <f>SUMIFS(E:E,(A:A),$A$34,(C:C),$C$3,(B:B),$B$10)</f>
        <v>43972.66</v>
      </c>
      <c r="P34">
        <f>SUMIFS(F:F,(A:A),$A$34,(C:C),$C$3,(B:B),$B$10)</f>
        <v>42981.29</v>
      </c>
      <c r="Q34">
        <f>SUMIFS(G:G,(A:A),$A$34,(C:C),$C$3,(B:B),$B$10)</f>
        <v>5614.2200000000012</v>
      </c>
      <c r="R34">
        <f t="shared" si="1"/>
        <v>0.13062009074180891</v>
      </c>
    </row>
    <row r="35" spans="1:18">
      <c r="A35">
        <v>2025</v>
      </c>
      <c r="B35" t="s">
        <v>6</v>
      </c>
      <c r="C35">
        <v>2</v>
      </c>
      <c r="D35" s="2">
        <v>48595.51</v>
      </c>
      <c r="E35" s="2">
        <v>43972.66</v>
      </c>
      <c r="F35" s="2">
        <v>42981.29</v>
      </c>
      <c r="G35" s="2">
        <f t="shared" si="0"/>
        <v>5614.2200000000012</v>
      </c>
      <c r="K35">
        <v>2025</v>
      </c>
      <c r="L35">
        <v>2</v>
      </c>
      <c r="M35" t="s">
        <v>8</v>
      </c>
      <c r="N35">
        <f>SUMIFS(D:D,(A:A),$A$42,(C:C),$C$3,(B:B),$B$18)</f>
        <v>130984.44</v>
      </c>
      <c r="O35">
        <f>SUMIFS(E:E,(A:A),$A$42,(C:C),$C$3,(B:B),$B$18)</f>
        <v>142175.37</v>
      </c>
      <c r="P35">
        <f>SUMIFS(F:F,(A:A),$A$42,(C:C),$C$3,(B:B),$B$18)</f>
        <v>145492.07</v>
      </c>
      <c r="Q35">
        <f>SUMIFS(G:G,(A:A),$A$2,(C:C),$C$3,(B:B),$B$18)</f>
        <v>-13217.199999999997</v>
      </c>
      <c r="R35">
        <f t="shared" si="1"/>
        <v>-9.971423184782513E-2</v>
      </c>
    </row>
    <row r="36" spans="1:18">
      <c r="A36">
        <v>2025</v>
      </c>
      <c r="B36" t="s">
        <v>6</v>
      </c>
      <c r="C36">
        <v>3</v>
      </c>
      <c r="D36" s="2">
        <v>28599.200000000001</v>
      </c>
      <c r="E36" s="2">
        <v>28718.48</v>
      </c>
      <c r="F36" s="2">
        <v>30923.94</v>
      </c>
      <c r="G36" s="2">
        <f t="shared" si="0"/>
        <v>-2324.739999999998</v>
      </c>
      <c r="K36">
        <v>2025</v>
      </c>
      <c r="L36">
        <v>2</v>
      </c>
      <c r="M36" t="s">
        <v>9</v>
      </c>
      <c r="N36">
        <f>SUMIFS(D:D,(A:A),$A$47,(C:C),$C$3,(B:B),$B$22)</f>
        <v>21211.21</v>
      </c>
      <c r="O36">
        <f>SUMIFS(E:E,(A:A),$A$47,(C:C),$C$3,(B:B),$B$22)</f>
        <v>22362.69</v>
      </c>
      <c r="P36">
        <f>SUMIFS(F:F,(A:A),$A$47,(C:C),$C$3,(B:B),$B$22)</f>
        <v>22368.41</v>
      </c>
      <c r="Q36">
        <f>SUMIFS(G:G,(A:A),$A$47,(C:C),$C$3,(B:B),$B$22)</f>
        <v>-1157.2000000000007</v>
      </c>
      <c r="R36">
        <f t="shared" si="1"/>
        <v>-5.1733672621344207E-2</v>
      </c>
    </row>
    <row r="37" spans="1:18">
      <c r="A37">
        <v>2025</v>
      </c>
      <c r="B37" t="s">
        <v>6</v>
      </c>
      <c r="C37">
        <v>4</v>
      </c>
      <c r="D37" s="2">
        <v>42077.120000000003</v>
      </c>
      <c r="E37" s="2">
        <v>39403.9</v>
      </c>
      <c r="F37" s="2">
        <v>39330.25</v>
      </c>
      <c r="G37" s="2">
        <f t="shared" si="0"/>
        <v>2746.8700000000026</v>
      </c>
      <c r="K37">
        <v>2025</v>
      </c>
      <c r="L37">
        <v>2</v>
      </c>
      <c r="M37" t="s">
        <v>7</v>
      </c>
      <c r="N37">
        <f>SUMIFS(D:D,(A:A),$A$38,(C:C),$C$3,(B:B),$B$14)</f>
        <v>66730.62</v>
      </c>
      <c r="O37">
        <f>SUMIFS(E:E,(A:A),$A$38,(C:C),$C$3,(B:B),$B$14)</f>
        <v>63717.279999999999</v>
      </c>
      <c r="P37">
        <f>SUMIFS(F:F,(A:A),$A$38,(C:C),$C$3,(B:B),$B$14)</f>
        <v>67871.69</v>
      </c>
      <c r="Q37">
        <f>SUMIFS(G:G,(A:A),$A$38,(C:C),$C$3,(B:B),$B$14)</f>
        <v>-1141.070000000007</v>
      </c>
      <c r="R37">
        <f t="shared" si="1"/>
        <v>-1.6812164246978512E-2</v>
      </c>
    </row>
    <row r="38" spans="1:18">
      <c r="A38">
        <v>2025</v>
      </c>
      <c r="B38" t="s">
        <v>7</v>
      </c>
      <c r="C38">
        <v>1</v>
      </c>
      <c r="D38" s="2">
        <v>89482.9</v>
      </c>
      <c r="E38" s="2">
        <v>97911.07</v>
      </c>
      <c r="F38" s="2">
        <v>98559.24</v>
      </c>
      <c r="G38" s="2">
        <f t="shared" si="0"/>
        <v>-9076.3400000000111</v>
      </c>
      <c r="K38">
        <v>2025</v>
      </c>
      <c r="L38">
        <v>3</v>
      </c>
      <c r="M38" t="s">
        <v>4</v>
      </c>
      <c r="N38">
        <f>SUMIFS(D:D,(A:A),$A$26,(C:C),$C$4,(B:B),$B$2)</f>
        <v>55254.78</v>
      </c>
      <c r="O38">
        <f>SUMIFS(E:E,(A:A),$A$26,(C:C),$C$4,(B:B),$B$2)</f>
        <v>57681.72</v>
      </c>
      <c r="P38">
        <f>SUMIFS(F:F,(A:A),$A$26,(C:C),$C$4,(B:B),$B$2)</f>
        <v>57575</v>
      </c>
      <c r="Q38">
        <f>SUMIFS(G:G,(A:A),$A$26,(C:C),$C$4,(B:B),$B$2)</f>
        <v>-2320.2200000000012</v>
      </c>
      <c r="R38">
        <f t="shared" si="1"/>
        <v>-4.0299088145896667E-2</v>
      </c>
    </row>
    <row r="39" spans="1:18">
      <c r="A39">
        <v>2025</v>
      </c>
      <c r="B39" t="s">
        <v>7</v>
      </c>
      <c r="C39">
        <v>2</v>
      </c>
      <c r="D39" s="2">
        <v>66730.62</v>
      </c>
      <c r="E39" s="2">
        <v>63717.279999999999</v>
      </c>
      <c r="F39" s="2">
        <v>67871.69</v>
      </c>
      <c r="G39" s="2">
        <f t="shared" si="0"/>
        <v>-1141.070000000007</v>
      </c>
      <c r="K39">
        <v>2025</v>
      </c>
      <c r="L39">
        <v>3</v>
      </c>
      <c r="M39" t="s">
        <v>5</v>
      </c>
      <c r="N39">
        <f>SUMIFS(D:D,(A:A),$A$30,(C:C),$C$4,(B:B),$B$6)</f>
        <v>120462.05</v>
      </c>
      <c r="O39">
        <f>SUMIFS(E:E,(A:A),$A$30,(C:C),$C$4,(B:B),$B$6)</f>
        <v>127306.15</v>
      </c>
      <c r="P39">
        <f>SUMIFS(F:F,(A:A),$A$30,(C:C),$C$4,(B:B),$B$6)</f>
        <v>128022.17</v>
      </c>
      <c r="Q39">
        <f>SUMIFS(G:G,(A:A),$A$30,(C:C),$C$4,(B:B),$B$6)</f>
        <v>-7560.1199999999953</v>
      </c>
      <c r="R39">
        <f t="shared" si="1"/>
        <v>-5.9053209299608E-2</v>
      </c>
    </row>
    <row r="40" spans="1:18">
      <c r="A40">
        <v>2025</v>
      </c>
      <c r="B40" t="s">
        <v>7</v>
      </c>
      <c r="C40">
        <v>3</v>
      </c>
      <c r="D40" s="2">
        <v>127969.04</v>
      </c>
      <c r="E40" s="2">
        <v>117894.18</v>
      </c>
      <c r="F40" s="2">
        <v>115938.14</v>
      </c>
      <c r="G40" s="2">
        <f t="shared" si="0"/>
        <v>12030.899999999994</v>
      </c>
      <c r="K40">
        <v>2025</v>
      </c>
      <c r="L40">
        <v>3</v>
      </c>
      <c r="M40" t="s">
        <v>6</v>
      </c>
      <c r="N40">
        <f>SUMIFS(D:D,(A:A),$A$34,(C:C),$C$4,(B:B),$B$10)</f>
        <v>28599.200000000001</v>
      </c>
      <c r="O40">
        <f>SUMIFS(E:E,(A:A),$A$34,(C:C),$C$4,(B:B),$B$10)</f>
        <v>28718.48</v>
      </c>
      <c r="P40">
        <f>SUMIFS(F:F,(A:A),$A$34,(C:C),$C$4,(B:B),$B$10)</f>
        <v>30923.94</v>
      </c>
      <c r="Q40">
        <f>SUMIFS(G:G,(A:A),$A$34,(C:C),$C$4,(B:B),$B$10)</f>
        <v>-2324.739999999998</v>
      </c>
      <c r="R40">
        <f t="shared" si="1"/>
        <v>-7.5176061006456463E-2</v>
      </c>
    </row>
    <row r="41" spans="1:18">
      <c r="A41">
        <v>2025</v>
      </c>
      <c r="B41" t="s">
        <v>7</v>
      </c>
      <c r="C41">
        <v>4</v>
      </c>
      <c r="D41" s="2">
        <v>98859.83</v>
      </c>
      <c r="E41" s="2">
        <v>100730.21</v>
      </c>
      <c r="F41" s="2">
        <v>97863.73</v>
      </c>
      <c r="G41" s="2">
        <f t="shared" si="0"/>
        <v>996.10000000000582</v>
      </c>
      <c r="K41">
        <v>2025</v>
      </c>
      <c r="L41">
        <v>3</v>
      </c>
      <c r="M41" t="s">
        <v>8</v>
      </c>
      <c r="N41">
        <f>SUMIFS(D:D,(A:A),$A$42,(C:C),$C$4,(B:B),$B$18)</f>
        <v>89085.04</v>
      </c>
      <c r="O41">
        <f>SUMIFS(E:E,(A:A),$A$42,(C:C),$C$4,(B:B),$B$18)</f>
        <v>89296.12</v>
      </c>
      <c r="P41">
        <f>SUMIFS(F:F,(A:A),$A$42,(C:C),$C$4,(B:B),$B$18)</f>
        <v>88359.56</v>
      </c>
      <c r="Q41">
        <f>SUMIFS(G:G,(A:A),$A$2,(C:C),$C$4,(B:B),$B$18)</f>
        <v>1190.7799999999988</v>
      </c>
      <c r="R41">
        <f t="shared" si="1"/>
        <v>8.2105433752726054E-3</v>
      </c>
    </row>
    <row r="42" spans="1:18">
      <c r="A42">
        <v>2025</v>
      </c>
      <c r="B42" t="s">
        <v>8</v>
      </c>
      <c r="C42">
        <v>1</v>
      </c>
      <c r="D42" s="2">
        <v>75571.7</v>
      </c>
      <c r="E42" s="2">
        <v>80720.77</v>
      </c>
      <c r="F42" s="2">
        <v>86587.65</v>
      </c>
      <c r="G42" s="2">
        <f t="shared" si="0"/>
        <v>-11015.949999999997</v>
      </c>
      <c r="K42">
        <v>2025</v>
      </c>
      <c r="L42">
        <v>3</v>
      </c>
      <c r="M42" t="s">
        <v>9</v>
      </c>
      <c r="N42">
        <f>SUMIFS(D:D,(A:A),$A$47,(C:C),$C$4,(B:B),$B$22)</f>
        <v>37532.769999999997</v>
      </c>
      <c r="O42">
        <f>SUMIFS(E:E,(A:A),$A$47,(C:C),$C$4,(B:B),$B$22)</f>
        <v>38564.660000000003</v>
      </c>
      <c r="P42">
        <f>SUMIFS(F:F,(A:A),$A$47,(C:C),$C$4,(B:B),$B$22)</f>
        <v>37139</v>
      </c>
      <c r="Q42">
        <f>SUMIFS(G:G,(A:A),$A$47,(C:C),$C$4,(B:B),$B$22)</f>
        <v>393.7699999999968</v>
      </c>
      <c r="R42">
        <f t="shared" si="1"/>
        <v>1.0602601039338522E-2</v>
      </c>
    </row>
    <row r="43" spans="1:18">
      <c r="A43">
        <v>2025</v>
      </c>
      <c r="B43" t="s">
        <v>8</v>
      </c>
      <c r="C43">
        <v>2</v>
      </c>
      <c r="D43" s="2">
        <v>130984.44</v>
      </c>
      <c r="E43" s="2">
        <v>142175.37</v>
      </c>
      <c r="F43" s="2">
        <v>145492.07</v>
      </c>
      <c r="G43" s="2">
        <f t="shared" si="0"/>
        <v>-14507.630000000005</v>
      </c>
      <c r="K43">
        <v>2025</v>
      </c>
      <c r="L43">
        <v>3</v>
      </c>
      <c r="M43" t="s">
        <v>7</v>
      </c>
      <c r="N43">
        <f>SUMIFS(D:D,(A:A),$A$38,(C:C),$C$4,(B:B),$B$14)</f>
        <v>127969.04</v>
      </c>
      <c r="O43">
        <f>SUMIFS(E:E,(A:A),$A$38,(C:C),$C$4,(B:B),$B$14)</f>
        <v>117894.18</v>
      </c>
      <c r="P43">
        <f>SUMIFS(F:F,(A:A),$A$38,(C:C),$C$4,(B:B),$B$14)</f>
        <v>115938.14</v>
      </c>
      <c r="Q43">
        <f>SUMIFS(G:G,(A:A),$A$38,(C:C),$C$4,(B:B),$B$14)</f>
        <v>12030.899999999994</v>
      </c>
      <c r="R43">
        <f t="shared" si="1"/>
        <v>0.10376999320499714</v>
      </c>
    </row>
    <row r="44" spans="1:18">
      <c r="A44">
        <v>2025</v>
      </c>
      <c r="B44" t="s">
        <v>8</v>
      </c>
      <c r="C44">
        <v>3</v>
      </c>
      <c r="D44" s="2">
        <v>89085.04</v>
      </c>
      <c r="E44" s="2">
        <v>89296.12</v>
      </c>
      <c r="F44" s="2">
        <v>88359.56</v>
      </c>
      <c r="G44" s="2">
        <f t="shared" si="0"/>
        <v>725.47999999999593</v>
      </c>
      <c r="K44">
        <v>2025</v>
      </c>
      <c r="L44">
        <v>4</v>
      </c>
      <c r="M44" t="s">
        <v>4</v>
      </c>
      <c r="N44">
        <f>SUMIFS(D:D,(A:A),$A$26,(C:C),$C$5,(B:B),$B$2)</f>
        <v>124523.7</v>
      </c>
      <c r="O44">
        <f>SUMIFS(E:E,(A:A),$A$26,(C:C),$C$5,(B:B),$B$2)</f>
        <v>112740.47</v>
      </c>
      <c r="P44">
        <f>SUMIFS(F:F,(A:A),$A$26,(C:C),$C$5,(B:B),$B$2)</f>
        <v>118711.72</v>
      </c>
      <c r="Q44">
        <f>SUMIFS(G:G,(A:A),$A$26,(C:C),$C$5,(B:B),$B$2)</f>
        <v>5811.9799999999959</v>
      </c>
      <c r="R44">
        <f t="shared" si="1"/>
        <v>4.895877172026486E-2</v>
      </c>
    </row>
    <row r="45" spans="1:18">
      <c r="A45">
        <v>2025</v>
      </c>
      <c r="B45" t="s">
        <v>8</v>
      </c>
      <c r="C45">
        <v>4</v>
      </c>
      <c r="D45" s="2">
        <v>116081.08</v>
      </c>
      <c r="E45" s="2">
        <v>119772.47</v>
      </c>
      <c r="F45" s="2">
        <v>112381.38</v>
      </c>
      <c r="G45" s="2">
        <f t="shared" si="0"/>
        <v>3699.6999999999971</v>
      </c>
      <c r="K45">
        <v>2025</v>
      </c>
      <c r="L45">
        <v>4</v>
      </c>
      <c r="M45" t="s">
        <v>5</v>
      </c>
      <c r="N45">
        <f>SUMIFS(D:D,(A:A),$A$30,(C:C),$C$5,(B:B),$B$6)</f>
        <v>90267.18</v>
      </c>
      <c r="O45">
        <f>SUMIFS(E:E,(A:A),$A$30,(C:C),$C$5,(B:B),$B$6)</f>
        <v>85027.32</v>
      </c>
      <c r="P45">
        <f>SUMIFS(F:F,(A:A),$A$30,(C:C),$C$5,(B:B),$B$6)</f>
        <v>88147.9</v>
      </c>
      <c r="Q45">
        <f>SUMIFS(G:G,(A:A),$A$30,(C:C),$C$5,(B:B),$B$6)</f>
        <v>2119.2799999999988</v>
      </c>
      <c r="R45">
        <f t="shared" si="1"/>
        <v>2.4042319783001087E-2</v>
      </c>
    </row>
    <row r="46" spans="1:18">
      <c r="A46">
        <v>2025</v>
      </c>
      <c r="B46" t="s">
        <v>9</v>
      </c>
      <c r="C46">
        <v>1</v>
      </c>
      <c r="D46" s="2">
        <v>64640.45</v>
      </c>
      <c r="E46" s="2">
        <v>70051.16</v>
      </c>
      <c r="F46" s="2">
        <v>66350.81</v>
      </c>
      <c r="G46" s="2">
        <f t="shared" si="0"/>
        <v>-1710.3600000000006</v>
      </c>
      <c r="K46">
        <v>2025</v>
      </c>
      <c r="L46">
        <v>4</v>
      </c>
      <c r="M46" t="s">
        <v>6</v>
      </c>
      <c r="N46">
        <f>SUMIFS(D:D,(A:A),$A$34,(C:C),$C$5,(B:B),$B$10)</f>
        <v>42077.120000000003</v>
      </c>
      <c r="O46">
        <f>SUMIFS(E:E,(A:A),$A$34,(C:C),$C$5,(B:B),$B$10)</f>
        <v>39403.9</v>
      </c>
      <c r="P46">
        <f>SUMIFS(F:F,(A:A),$A$34,(C:C),$C$5,(B:B),$B$10)</f>
        <v>39330.25</v>
      </c>
      <c r="Q46">
        <f>SUMIFS(G:G,(A:A),$A$34,(C:C),$C$5,(B:B),$B$10)</f>
        <v>2746.8700000000026</v>
      </c>
      <c r="R46">
        <f t="shared" si="1"/>
        <v>6.9841152802232465E-2</v>
      </c>
    </row>
    <row r="47" spans="1:18">
      <c r="A47">
        <v>2025</v>
      </c>
      <c r="B47" t="s">
        <v>9</v>
      </c>
      <c r="C47">
        <v>2</v>
      </c>
      <c r="D47" s="2">
        <v>21211.21</v>
      </c>
      <c r="E47" s="2">
        <v>22362.69</v>
      </c>
      <c r="F47" s="2">
        <v>22368.41</v>
      </c>
      <c r="G47" s="2">
        <f t="shared" si="0"/>
        <v>-1157.2000000000007</v>
      </c>
      <c r="K47">
        <v>2025</v>
      </c>
      <c r="L47">
        <v>4</v>
      </c>
      <c r="M47" t="s">
        <v>8</v>
      </c>
      <c r="N47">
        <f>SUMIFS(D:D,(A:A),$A$42,(C:C),$C$5,(B:B),$B$18)</f>
        <v>116081.08</v>
      </c>
      <c r="O47">
        <f>SUMIFS(E:E,(A:A),$A$42,(C:C),$C$5,(B:B),$B$18)</f>
        <v>119772.47</v>
      </c>
      <c r="P47">
        <f>SUMIFS(F:F,(A:A),$A$42,(C:C),$C$5,(B:B),$B$18)</f>
        <v>112381.38</v>
      </c>
      <c r="Q47">
        <f>SUMIFS(G:G,(A:A),$A$2,(C:C),$C$5,(B:B),$B$18)</f>
        <v>-12732.089999999997</v>
      </c>
      <c r="R47">
        <f t="shared" si="1"/>
        <v>3.2920934055089779E-2</v>
      </c>
    </row>
    <row r="48" spans="1:18">
      <c r="A48">
        <v>2025</v>
      </c>
      <c r="B48" t="s">
        <v>9</v>
      </c>
      <c r="C48">
        <v>3</v>
      </c>
      <c r="D48" s="2">
        <v>37532.769999999997</v>
      </c>
      <c r="E48" s="2">
        <v>38564.660000000003</v>
      </c>
      <c r="F48" s="2">
        <v>37139</v>
      </c>
      <c r="G48" s="2">
        <f t="shared" si="0"/>
        <v>393.7699999999968</v>
      </c>
      <c r="K48">
        <v>2025</v>
      </c>
      <c r="L48">
        <v>4</v>
      </c>
      <c r="M48" t="s">
        <v>9</v>
      </c>
      <c r="N48">
        <f>SUMIFS(D:D,(A:A),$A$47,(C:C),$C$5,(B:B),$B$22)</f>
        <v>28580.31</v>
      </c>
      <c r="O48">
        <f>SUMIFS(E:E,(A:A),$A$47,(C:C),$C$5,(B:B),$B$22)</f>
        <v>29613.63</v>
      </c>
      <c r="P48">
        <f>SUMIFS(F:F,(A:A),$A$47,(C:C),$C$5,(B:B),$B$22)</f>
        <v>28551.84</v>
      </c>
      <c r="Q48">
        <f>SUMIFS(G:G,(A:A),$A$47,(C:C),$C$5,(B:B),$B$22)</f>
        <v>28.470000000001164</v>
      </c>
      <c r="R48">
        <f t="shared" si="1"/>
        <v>9.9713363482001327E-4</v>
      </c>
    </row>
    <row r="49" spans="1:18">
      <c r="A49">
        <v>2025</v>
      </c>
      <c r="B49" t="s">
        <v>9</v>
      </c>
      <c r="C49">
        <v>4</v>
      </c>
      <c r="D49" s="2">
        <v>28580.31</v>
      </c>
      <c r="E49" s="2">
        <v>29613.63</v>
      </c>
      <c r="F49" s="2">
        <v>28551.84</v>
      </c>
      <c r="G49" s="2">
        <f t="shared" si="0"/>
        <v>28.470000000001164</v>
      </c>
      <c r="K49">
        <v>2025</v>
      </c>
      <c r="L49">
        <v>4</v>
      </c>
      <c r="M49" t="s">
        <v>7</v>
      </c>
      <c r="N49">
        <f>SUMIFS(D:D,(A:A),$A$38,(C:C),$C$5,(B:B),$B$14)</f>
        <v>98859.83</v>
      </c>
      <c r="O49">
        <f>SUMIFS(E:E,(A:A),$A$38,(C:C),$C$5,(B:B),$B$14)</f>
        <v>100730.21</v>
      </c>
      <c r="P49">
        <f>SUMIFS(F:F,(A:A),$A$38,(C:C),$C$5,(B:B),$B$14)</f>
        <v>97863.73</v>
      </c>
      <c r="Q49">
        <f>SUMIFS(G:G,(A:A),$A$38,(C:C),$C$5,(B:B),$B$14)</f>
        <v>996.10000000000582</v>
      </c>
      <c r="R49">
        <f t="shared" si="1"/>
        <v>1.0178438937489931E-2</v>
      </c>
    </row>
    <row r="50" spans="1:18">
      <c r="K50"/>
      <c r="L50"/>
    </row>
    <row r="51" spans="1:18">
      <c r="K51"/>
      <c r="L51"/>
    </row>
  </sheetData>
  <conditionalFormatting sqref="Q2:R49">
    <cfRule type="cellIs" dxfId="14" priority="1" operator="lessThan">
      <formula>0</formula>
    </cfRule>
    <cfRule type="cellIs" dxfId="13" priority="2"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634F-2F1E-453D-8DA8-8BB46D1D00EA}">
  <dimension ref="C1:K15"/>
  <sheetViews>
    <sheetView tabSelected="1" zoomScale="75" zoomScaleNormal="75" workbookViewId="0">
      <selection activeCell="D5" sqref="D5"/>
    </sheetView>
  </sheetViews>
  <sheetFormatPr defaultRowHeight="14.5"/>
  <cols>
    <col min="3" max="3" width="15.90625" customWidth="1"/>
    <col min="4" max="4" width="11.1796875" bestFit="1" customWidth="1"/>
    <col min="5" max="5" width="10.54296875" customWidth="1"/>
    <col min="6" max="6" width="11.1796875" bestFit="1" customWidth="1"/>
    <col min="7" max="7" width="16.453125" customWidth="1"/>
    <col min="8" max="8" width="17.453125" style="6" customWidth="1"/>
    <col min="9" max="9" width="20" style="6" customWidth="1"/>
    <col min="10" max="10" width="21" style="6" customWidth="1"/>
    <col min="11" max="11" width="8.7265625" style="6"/>
    <col min="21" max="21" width="8.7265625" customWidth="1"/>
    <col min="22" max="22" width="7.1796875" customWidth="1"/>
  </cols>
  <sheetData>
    <row r="1" spans="3:11">
      <c r="C1" s="6"/>
    </row>
    <row r="2" spans="3:11" ht="18.5">
      <c r="C2" s="20" t="s">
        <v>14</v>
      </c>
    </row>
    <row r="4" spans="3:11" ht="15.5">
      <c r="C4" s="22" t="s">
        <v>15</v>
      </c>
      <c r="D4" s="17">
        <v>2024</v>
      </c>
      <c r="E4" s="3"/>
    </row>
    <row r="5" spans="3:11" ht="15.5">
      <c r="C5" s="22" t="s">
        <v>2</v>
      </c>
      <c r="D5" s="17">
        <v>1</v>
      </c>
    </row>
    <row r="6" spans="3:11">
      <c r="D6" s="8"/>
      <c r="E6" s="9"/>
      <c r="F6" s="8"/>
      <c r="G6" s="8"/>
      <c r="I6" s="12"/>
    </row>
    <row r="7" spans="3:11" ht="29">
      <c r="C7" s="14" t="s">
        <v>16</v>
      </c>
      <c r="D7" s="15" t="s">
        <v>17</v>
      </c>
      <c r="E7" s="15" t="s">
        <v>20</v>
      </c>
      <c r="F7" s="15" t="s">
        <v>18</v>
      </c>
      <c r="G7" s="16" t="s">
        <v>21</v>
      </c>
      <c r="H7" s="16" t="s">
        <v>22</v>
      </c>
      <c r="I7" s="16" t="s">
        <v>23</v>
      </c>
      <c r="J7" s="16" t="s">
        <v>24</v>
      </c>
      <c r="K7" s="13"/>
    </row>
    <row r="8" spans="3:11">
      <c r="C8" s="4" t="s">
        <v>4</v>
      </c>
      <c r="D8" s="23">
        <f>SUMIFS(Data!$N:$N,Data!$K:$K,$D$4,Data!$L:$L,$D$5,Data!$M:$M,$C8)</f>
        <v>41215.19</v>
      </c>
      <c r="E8" s="23">
        <f>SUMIFS(Data!$O:$O,Data!$K:$K,$D$4,Data!$L:$L,$D$5,Data!$M:$M,$C8)</f>
        <v>39758.93</v>
      </c>
      <c r="F8" s="23">
        <f>SUMIFS(Data!$P:$P,Data!$K:$K,$D$4,Data!$L:$L,$D$5,Data!$M:$M,$C8)</f>
        <v>37613.910000000003</v>
      </c>
      <c r="G8" s="23">
        <f>D8-F8</f>
        <v>3601.2799999999988</v>
      </c>
      <c r="H8" s="24">
        <f>E8-F8</f>
        <v>2145.0199999999968</v>
      </c>
      <c r="I8" s="21">
        <f>D8/F8-1</f>
        <v>9.5743303474698616E-2</v>
      </c>
      <c r="J8" s="21">
        <f>E8/F8-1</f>
        <v>5.702730718502802E-2</v>
      </c>
      <c r="K8" s="11"/>
    </row>
    <row r="9" spans="3:11">
      <c r="C9" s="4" t="s">
        <v>5</v>
      </c>
      <c r="D9" s="23">
        <f>SUMIFS(Data!$N:$N,Data!$K:$K,$D$4,Data!$L:$L,$D$5,Data!$M:$M,$C9)</f>
        <v>32925.71</v>
      </c>
      <c r="E9" s="23">
        <f>SUMIFS(Data!$O:$O,Data!$K:$K,$D$4,Data!$L:$L,$D$5,Data!$M:$M,$C9)</f>
        <v>30364.35</v>
      </c>
      <c r="F9" s="23">
        <f>SUMIFS(Data!$P:$P,Data!$K:$K,$D$4,Data!$L:$L,$D$5,Data!$M:$M,$C9)</f>
        <v>30596.03</v>
      </c>
      <c r="G9" s="23">
        <f t="shared" ref="G9:G13" si="0">D9-F9</f>
        <v>2329.6800000000003</v>
      </c>
      <c r="H9" s="24">
        <f t="shared" ref="H9:H13" si="1">E9-F9</f>
        <v>-231.68000000000029</v>
      </c>
      <c r="I9" s="21">
        <f t="shared" ref="I9:I13" si="2">D9/F9-1</f>
        <v>7.6143212044176956E-2</v>
      </c>
      <c r="J9" s="21">
        <f t="shared" ref="J9:J13" si="3">E9/F9-1</f>
        <v>-7.5722242395500627E-3</v>
      </c>
      <c r="K9" s="11"/>
    </row>
    <row r="10" spans="3:11">
      <c r="C10" s="4" t="s">
        <v>6</v>
      </c>
      <c r="D10" s="23">
        <f>SUMIFS(Data!$N:$N,Data!$K:$K,$D$4,Data!$L:$L,$D$5,Data!$M:$M,$C10)</f>
        <v>26040.63</v>
      </c>
      <c r="E10" s="23">
        <f>SUMIFS(Data!$O:$O,Data!$K:$K,$D$4,Data!$L:$L,$D$5,Data!$M:$M,$C10)</f>
        <v>24585.53</v>
      </c>
      <c r="F10" s="23">
        <f>SUMIFS(Data!$P:$P,Data!$K:$K,$D$4,Data!$L:$L,$D$5,Data!$M:$M,$C10)</f>
        <v>22752.02</v>
      </c>
      <c r="G10" s="23">
        <f t="shared" si="0"/>
        <v>3288.6100000000006</v>
      </c>
      <c r="H10" s="24">
        <f t="shared" si="1"/>
        <v>1833.5099999999984</v>
      </c>
      <c r="I10" s="21">
        <f t="shared" si="2"/>
        <v>0.1445414517040684</v>
      </c>
      <c r="J10" s="21">
        <f t="shared" si="3"/>
        <v>8.0586690764160585E-2</v>
      </c>
      <c r="K10" s="11"/>
    </row>
    <row r="11" spans="3:11">
      <c r="C11" s="4" t="s">
        <v>8</v>
      </c>
      <c r="D11" s="23">
        <f>SUMIFS(Data!$N:$N,Data!$K:$K,$D$4,Data!$L:$L,$D$5,Data!$M:$M,$C11)</f>
        <v>44332.15</v>
      </c>
      <c r="E11" s="23">
        <f>SUMIFS(Data!$O:$O,Data!$K:$K,$D$4,Data!$L:$L,$D$5,Data!$M:$M,$C11)</f>
        <v>41613.82</v>
      </c>
      <c r="F11" s="23">
        <f>SUMIFS(Data!$P:$P,Data!$K:$K,$D$4,Data!$L:$L,$D$5,Data!$M:$M,$C11)</f>
        <v>38572.49</v>
      </c>
      <c r="G11" s="23">
        <f t="shared" si="0"/>
        <v>5759.6600000000035</v>
      </c>
      <c r="H11" s="24">
        <f t="shared" si="1"/>
        <v>3041.3300000000017</v>
      </c>
      <c r="I11" s="21">
        <f t="shared" si="2"/>
        <v>0.14932040944206615</v>
      </c>
      <c r="J11" s="21">
        <f t="shared" si="3"/>
        <v>7.8847126540184442E-2</v>
      </c>
      <c r="K11" s="11"/>
    </row>
    <row r="12" spans="3:11">
      <c r="C12" s="4" t="s">
        <v>9</v>
      </c>
      <c r="D12" s="23">
        <f>SUMIFS(Data!$N:$N,Data!$K:$K,$D$4,Data!$L:$L,$D$5,Data!$M:$M,$C12)</f>
        <v>100318.84</v>
      </c>
      <c r="E12" s="23">
        <f>SUMIFS(Data!$O:$O,Data!$K:$K,$D$4,Data!$L:$L,$D$5,Data!$M:$M,$C12)</f>
        <v>99411.77</v>
      </c>
      <c r="F12" s="23">
        <f>SUMIFS(Data!$P:$P,Data!$K:$K,$D$4,Data!$L:$L,$D$5,Data!$M:$M,$C12)</f>
        <v>102349.27</v>
      </c>
      <c r="G12" s="23">
        <f t="shared" si="0"/>
        <v>-2030.4300000000076</v>
      </c>
      <c r="H12" s="24">
        <f t="shared" si="1"/>
        <v>-2937.5</v>
      </c>
      <c r="I12" s="21">
        <f t="shared" si="2"/>
        <v>-1.9838246037319096E-2</v>
      </c>
      <c r="J12" s="21">
        <f t="shared" si="3"/>
        <v>-2.8700742076616659E-2</v>
      </c>
      <c r="K12" s="11"/>
    </row>
    <row r="13" spans="3:11">
      <c r="C13" s="4" t="s">
        <v>7</v>
      </c>
      <c r="D13" s="23">
        <f>SUMIFS(Data!$N:$N,Data!$K:$K,$D$4,Data!$L:$L,$D$5,Data!$M:$M,$C13)</f>
        <v>93664.65</v>
      </c>
      <c r="E13" s="23">
        <f>SUMIFS(Data!$O:$O,Data!$K:$K,$D$4,Data!$L:$L,$D$5,Data!$M:$M,$C13)</f>
        <v>99038.18</v>
      </c>
      <c r="F13" s="23">
        <f>SUMIFS(Data!$P:$P,Data!$K:$K,$D$4,Data!$L:$L,$D$5,Data!$M:$M,$C13)</f>
        <v>105900.34</v>
      </c>
      <c r="G13" s="23">
        <f t="shared" si="0"/>
        <v>-12235.690000000002</v>
      </c>
      <c r="H13" s="24">
        <f t="shared" si="1"/>
        <v>-6862.1600000000035</v>
      </c>
      <c r="I13" s="21">
        <f t="shared" si="2"/>
        <v>-0.11553966682259942</v>
      </c>
      <c r="J13" s="21">
        <f t="shared" si="3"/>
        <v>-6.4798281100891697E-2</v>
      </c>
      <c r="K13" s="11"/>
    </row>
    <row r="14" spans="3:11">
      <c r="C14" s="18"/>
      <c r="D14" s="19"/>
      <c r="E14" s="19"/>
      <c r="F14" s="19"/>
      <c r="G14" s="19"/>
      <c r="H14" s="19"/>
      <c r="I14" s="19"/>
      <c r="J14" s="19"/>
      <c r="K14" s="19"/>
    </row>
    <row r="15" spans="3:11">
      <c r="D15" s="6"/>
      <c r="E15" s="6"/>
      <c r="F15" s="6"/>
      <c r="G15" s="6"/>
    </row>
  </sheetData>
  <conditionalFormatting sqref="G8:J13">
    <cfRule type="cellIs" dxfId="12" priority="1" operator="lessThan">
      <formula>0</formula>
    </cfRule>
    <cfRule type="cellIs" dxfId="11" priority="2" operator="greaterThan">
      <formula>0</formula>
    </cfRule>
  </conditionalFormatting>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13F6A63C-278C-4CAD-BFF6-0EF8D9386666}">
          <x14:formula1>
            <xm:f>Lists!$E$4:$E$5</xm:f>
          </x14:formula1>
          <xm:sqref>D4</xm:sqref>
        </x14:dataValidation>
        <x14:dataValidation type="list" allowBlank="1" showInputMessage="1" showErrorMessage="1" xr:uid="{AA2585D3-F36A-4AE3-ABE8-2BB2F066D4D2}">
          <x14:formula1>
            <xm:f>Lists!$K$4:$K$7</xm:f>
          </x14:formula1>
          <xm:sqref>D5</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D275-FEF2-4E30-B96C-BE6459DDEBDF}">
  <dimension ref="B1:K49"/>
  <sheetViews>
    <sheetView workbookViewId="0">
      <selection activeCell="F10" sqref="F10"/>
    </sheetView>
  </sheetViews>
  <sheetFormatPr defaultRowHeight="14.5"/>
  <cols>
    <col min="2" max="2" width="13.81640625" customWidth="1"/>
  </cols>
  <sheetData>
    <row r="1" spans="2:11">
      <c r="B1" s="1" t="s">
        <v>0</v>
      </c>
      <c r="H1" s="1" t="s">
        <v>2</v>
      </c>
    </row>
    <row r="2" spans="2:11">
      <c r="B2">
        <v>2024</v>
      </c>
      <c r="H2">
        <v>1</v>
      </c>
    </row>
    <row r="3" spans="2:11">
      <c r="B3">
        <v>2024</v>
      </c>
      <c r="E3" s="1" t="s">
        <v>0</v>
      </c>
      <c r="H3">
        <v>2</v>
      </c>
      <c r="K3" s="1" t="s">
        <v>2</v>
      </c>
    </row>
    <row r="4" spans="2:11">
      <c r="B4">
        <v>2024</v>
      </c>
      <c r="E4" s="4">
        <v>2024</v>
      </c>
      <c r="H4">
        <v>3</v>
      </c>
      <c r="K4" s="4">
        <v>1</v>
      </c>
    </row>
    <row r="5" spans="2:11">
      <c r="B5">
        <v>2024</v>
      </c>
      <c r="E5" s="4">
        <v>2025</v>
      </c>
      <c r="H5">
        <v>4</v>
      </c>
      <c r="K5" s="4">
        <v>2</v>
      </c>
    </row>
    <row r="6" spans="2:11">
      <c r="B6">
        <v>2024</v>
      </c>
      <c r="H6">
        <v>1</v>
      </c>
      <c r="K6" s="4">
        <v>3</v>
      </c>
    </row>
    <row r="7" spans="2:11">
      <c r="B7">
        <v>2024</v>
      </c>
      <c r="H7">
        <v>2</v>
      </c>
      <c r="K7" s="4">
        <v>4</v>
      </c>
    </row>
    <row r="8" spans="2:11">
      <c r="B8">
        <v>2024</v>
      </c>
      <c r="H8">
        <v>3</v>
      </c>
    </row>
    <row r="9" spans="2:11">
      <c r="B9">
        <v>2024</v>
      </c>
      <c r="H9">
        <v>4</v>
      </c>
    </row>
    <row r="10" spans="2:11">
      <c r="B10">
        <v>2024</v>
      </c>
      <c r="H10">
        <v>1</v>
      </c>
    </row>
    <row r="11" spans="2:11">
      <c r="B11">
        <v>2024</v>
      </c>
      <c r="H11">
        <v>2</v>
      </c>
    </row>
    <row r="12" spans="2:11">
      <c r="B12">
        <v>2024</v>
      </c>
      <c r="H12">
        <v>3</v>
      </c>
    </row>
    <row r="13" spans="2:11">
      <c r="B13">
        <v>2024</v>
      </c>
      <c r="H13">
        <v>4</v>
      </c>
    </row>
    <row r="14" spans="2:11">
      <c r="B14">
        <v>2024</v>
      </c>
      <c r="H14">
        <v>1</v>
      </c>
    </row>
    <row r="15" spans="2:11">
      <c r="B15">
        <v>2024</v>
      </c>
      <c r="H15">
        <v>2</v>
      </c>
    </row>
    <row r="16" spans="2:11">
      <c r="B16">
        <v>2024</v>
      </c>
      <c r="H16">
        <v>3</v>
      </c>
    </row>
    <row r="17" spans="2:8">
      <c r="B17">
        <v>2024</v>
      </c>
      <c r="H17">
        <v>4</v>
      </c>
    </row>
    <row r="18" spans="2:8">
      <c r="B18">
        <v>2024</v>
      </c>
      <c r="H18">
        <v>1</v>
      </c>
    </row>
    <row r="19" spans="2:8">
      <c r="B19">
        <v>2024</v>
      </c>
      <c r="H19">
        <v>2</v>
      </c>
    </row>
    <row r="20" spans="2:8">
      <c r="B20">
        <v>2024</v>
      </c>
      <c r="H20">
        <v>3</v>
      </c>
    </row>
    <row r="21" spans="2:8">
      <c r="B21">
        <v>2024</v>
      </c>
      <c r="H21">
        <v>4</v>
      </c>
    </row>
    <row r="22" spans="2:8">
      <c r="B22">
        <v>2024</v>
      </c>
      <c r="H22">
        <v>1</v>
      </c>
    </row>
    <row r="23" spans="2:8">
      <c r="B23">
        <v>2024</v>
      </c>
      <c r="H23">
        <v>2</v>
      </c>
    </row>
    <row r="24" spans="2:8">
      <c r="B24">
        <v>2024</v>
      </c>
      <c r="H24">
        <v>3</v>
      </c>
    </row>
    <row r="25" spans="2:8">
      <c r="B25">
        <v>2024</v>
      </c>
      <c r="H25">
        <v>4</v>
      </c>
    </row>
    <row r="26" spans="2:8">
      <c r="B26">
        <v>2025</v>
      </c>
      <c r="H26">
        <v>1</v>
      </c>
    </row>
    <row r="27" spans="2:8">
      <c r="B27">
        <v>2025</v>
      </c>
      <c r="H27">
        <v>2</v>
      </c>
    </row>
    <row r="28" spans="2:8">
      <c r="B28">
        <v>2025</v>
      </c>
      <c r="H28">
        <v>3</v>
      </c>
    </row>
    <row r="29" spans="2:8">
      <c r="B29">
        <v>2025</v>
      </c>
      <c r="H29">
        <v>4</v>
      </c>
    </row>
    <row r="30" spans="2:8">
      <c r="B30">
        <v>2025</v>
      </c>
      <c r="H30">
        <v>1</v>
      </c>
    </row>
    <row r="31" spans="2:8">
      <c r="B31">
        <v>2025</v>
      </c>
      <c r="H31">
        <v>2</v>
      </c>
    </row>
    <row r="32" spans="2:8">
      <c r="B32">
        <v>2025</v>
      </c>
      <c r="H32">
        <v>3</v>
      </c>
    </row>
    <row r="33" spans="2:8">
      <c r="B33">
        <v>2025</v>
      </c>
      <c r="H33">
        <v>4</v>
      </c>
    </row>
    <row r="34" spans="2:8">
      <c r="B34">
        <v>2025</v>
      </c>
      <c r="H34">
        <v>1</v>
      </c>
    </row>
    <row r="35" spans="2:8">
      <c r="B35">
        <v>2025</v>
      </c>
      <c r="H35">
        <v>2</v>
      </c>
    </row>
    <row r="36" spans="2:8">
      <c r="B36">
        <v>2025</v>
      </c>
      <c r="H36">
        <v>3</v>
      </c>
    </row>
    <row r="37" spans="2:8">
      <c r="B37">
        <v>2025</v>
      </c>
      <c r="H37">
        <v>4</v>
      </c>
    </row>
    <row r="38" spans="2:8">
      <c r="B38">
        <v>2025</v>
      </c>
      <c r="H38">
        <v>1</v>
      </c>
    </row>
    <row r="39" spans="2:8">
      <c r="B39">
        <v>2025</v>
      </c>
      <c r="H39">
        <v>2</v>
      </c>
    </row>
    <row r="40" spans="2:8">
      <c r="B40">
        <v>2025</v>
      </c>
      <c r="H40">
        <v>3</v>
      </c>
    </row>
    <row r="41" spans="2:8">
      <c r="B41">
        <v>2025</v>
      </c>
      <c r="H41">
        <v>4</v>
      </c>
    </row>
    <row r="42" spans="2:8">
      <c r="B42">
        <v>2025</v>
      </c>
      <c r="H42">
        <v>1</v>
      </c>
    </row>
    <row r="43" spans="2:8">
      <c r="B43">
        <v>2025</v>
      </c>
      <c r="H43">
        <v>2</v>
      </c>
    </row>
    <row r="44" spans="2:8">
      <c r="B44">
        <v>2025</v>
      </c>
      <c r="H44">
        <v>3</v>
      </c>
    </row>
    <row r="45" spans="2:8">
      <c r="B45">
        <v>2025</v>
      </c>
      <c r="H45">
        <v>4</v>
      </c>
    </row>
    <row r="46" spans="2:8">
      <c r="B46">
        <v>2025</v>
      </c>
      <c r="H46">
        <v>1</v>
      </c>
    </row>
    <row r="47" spans="2:8">
      <c r="B47">
        <v>2025</v>
      </c>
      <c r="H47">
        <v>2</v>
      </c>
    </row>
    <row r="48" spans="2:8">
      <c r="B48">
        <v>2025</v>
      </c>
      <c r="H48">
        <v>3</v>
      </c>
    </row>
    <row r="49" spans="2:8">
      <c r="B49">
        <v>2025</v>
      </c>
      <c r="H49">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3A1A-2E8B-4913-98E4-F58A5EAEEAE7}">
  <dimension ref="C1:K15"/>
  <sheetViews>
    <sheetView zoomScale="75" zoomScaleNormal="75" workbookViewId="0">
      <selection activeCell="T4" sqref="T4"/>
    </sheetView>
  </sheetViews>
  <sheetFormatPr defaultRowHeight="14.5"/>
  <cols>
    <col min="3" max="3" width="15.90625" customWidth="1"/>
    <col min="4" max="4" width="11.1796875" bestFit="1" customWidth="1"/>
    <col min="5" max="5" width="10.54296875" customWidth="1"/>
    <col min="6" max="6" width="11.1796875" bestFit="1" customWidth="1"/>
    <col min="7" max="7" width="16.453125" customWidth="1"/>
    <col min="8" max="8" width="17.453125" style="6" customWidth="1"/>
    <col min="9" max="9" width="20" style="6" customWidth="1"/>
    <col min="10" max="10" width="21" style="6" customWidth="1"/>
    <col min="11" max="11" width="8.7265625" style="6"/>
    <col min="21" max="21" width="8.7265625" customWidth="1"/>
    <col min="22" max="22" width="7.1796875" customWidth="1"/>
  </cols>
  <sheetData>
    <row r="1" spans="3:11">
      <c r="C1" s="6"/>
    </row>
    <row r="2" spans="3:11" ht="18.5">
      <c r="C2" s="20" t="s">
        <v>14</v>
      </c>
    </row>
    <row r="4" spans="3:11" ht="15.5">
      <c r="C4" s="22" t="s">
        <v>15</v>
      </c>
      <c r="D4" s="17">
        <v>2024</v>
      </c>
      <c r="E4" s="3"/>
    </row>
    <row r="5" spans="3:11" ht="15.5">
      <c r="C5" s="22" t="s">
        <v>2</v>
      </c>
      <c r="D5" s="17">
        <v>2</v>
      </c>
    </row>
    <row r="6" spans="3:11">
      <c r="D6" s="8"/>
      <c r="E6" s="9"/>
      <c r="F6" s="8"/>
      <c r="G6" s="8"/>
      <c r="I6" s="12"/>
    </row>
    <row r="7" spans="3:11" ht="29">
      <c r="C7" s="14" t="s">
        <v>16</v>
      </c>
      <c r="D7" s="15" t="s">
        <v>17</v>
      </c>
      <c r="E7" s="15" t="s">
        <v>20</v>
      </c>
      <c r="F7" s="15" t="s">
        <v>18</v>
      </c>
      <c r="G7" s="16" t="s">
        <v>21</v>
      </c>
      <c r="H7" s="16" t="s">
        <v>22</v>
      </c>
      <c r="I7" s="16" t="s">
        <v>23</v>
      </c>
      <c r="J7" s="16" t="s">
        <v>24</v>
      </c>
      <c r="K7" s="13"/>
    </row>
    <row r="8" spans="3:11">
      <c r="C8" s="4" t="s">
        <v>4</v>
      </c>
      <c r="D8" s="23">
        <f>SUMIFS(Data!$N:$N,Data!$K:$K,$D$4,Data!$L:$L,$D$5,Data!$M:$M,$C8)</f>
        <v>79918.89</v>
      </c>
      <c r="E8" s="23">
        <f>SUMIFS(Data!$O:$O,Data!$K:$K,$D$4,Data!$L:$L,$D$5,Data!$M:$M,$C8)</f>
        <v>84614.59</v>
      </c>
      <c r="F8" s="23">
        <f>SUMIFS(Data!$P:$P,Data!$K:$K,$D$4,Data!$L:$L,$D$5,Data!$M:$M,$C8)</f>
        <v>86720.13</v>
      </c>
      <c r="G8" s="23">
        <f>D8-F8</f>
        <v>-6801.2400000000052</v>
      </c>
      <c r="H8" s="24">
        <f>E8-F8</f>
        <v>-2105.5400000000081</v>
      </c>
      <c r="I8" s="21">
        <f>D8/F8-1</f>
        <v>-7.8427465456982204E-2</v>
      </c>
      <c r="J8" s="21">
        <f>E8/F8-1</f>
        <v>-2.4279714525335838E-2</v>
      </c>
      <c r="K8" s="11"/>
    </row>
    <row r="9" spans="3:11">
      <c r="C9" s="4" t="s">
        <v>5</v>
      </c>
      <c r="D9" s="23">
        <f>SUMIFS(Data!$N:$N,Data!$K:$K,$D$4,Data!$L:$L,$D$5,Data!$M:$M,$C9)</f>
        <v>75074.820000000007</v>
      </c>
      <c r="E9" s="23">
        <f>SUMIFS(Data!$O:$O,Data!$K:$K,$D$4,Data!$L:$L,$D$5,Data!$M:$M,$C9)</f>
        <v>68249.88</v>
      </c>
      <c r="F9" s="23">
        <f>SUMIFS(Data!$P:$P,Data!$K:$K,$D$4,Data!$L:$L,$D$5,Data!$M:$M,$C9)</f>
        <v>68953.81</v>
      </c>
      <c r="G9" s="23">
        <f t="shared" ref="G9:G13" si="0">D9-F9</f>
        <v>6121.0100000000093</v>
      </c>
      <c r="H9" s="24">
        <f t="shared" ref="H9:H13" si="1">E9-F9</f>
        <v>-703.92999999999302</v>
      </c>
      <c r="I9" s="21">
        <f t="shared" ref="I9:I13" si="2">D9/F9-1</f>
        <v>8.8769714102817643E-2</v>
      </c>
      <c r="J9" s="21">
        <f t="shared" ref="J9:J13" si="3">E9/F9-1</f>
        <v>-1.0208717980920712E-2</v>
      </c>
      <c r="K9" s="11"/>
    </row>
    <row r="10" spans="3:11">
      <c r="C10" s="4" t="s">
        <v>6</v>
      </c>
      <c r="D10" s="23">
        <f>SUMIFS(Data!$N:$N,Data!$K:$K,$D$4,Data!$L:$L,$D$5,Data!$M:$M,$C10)</f>
        <v>125902.24</v>
      </c>
      <c r="E10" s="23">
        <f>SUMIFS(Data!$O:$O,Data!$K:$K,$D$4,Data!$L:$L,$D$5,Data!$M:$M,$C10)</f>
        <v>121557.94</v>
      </c>
      <c r="F10" s="23">
        <f>SUMIFS(Data!$P:$P,Data!$K:$K,$D$4,Data!$L:$L,$D$5,Data!$M:$M,$C10)</f>
        <v>119490.08</v>
      </c>
      <c r="G10" s="23">
        <f t="shared" si="0"/>
        <v>6412.1600000000035</v>
      </c>
      <c r="H10" s="24">
        <f t="shared" si="1"/>
        <v>2067.8600000000006</v>
      </c>
      <c r="I10" s="21">
        <f t="shared" si="2"/>
        <v>5.3662697355295164E-2</v>
      </c>
      <c r="J10" s="21">
        <f t="shared" si="3"/>
        <v>1.7305704373116182E-2</v>
      </c>
      <c r="K10" s="11"/>
    </row>
    <row r="11" spans="3:11">
      <c r="C11" s="4" t="s">
        <v>8</v>
      </c>
      <c r="D11" s="23">
        <f>SUMIFS(Data!$N:$N,Data!$K:$K,$D$4,Data!$L:$L,$D$5,Data!$M:$M,$C11)</f>
        <v>112743.3</v>
      </c>
      <c r="E11" s="23">
        <f>SUMIFS(Data!$O:$O,Data!$K:$K,$D$4,Data!$L:$L,$D$5,Data!$M:$M,$C11)</f>
        <v>119526.72</v>
      </c>
      <c r="F11" s="23">
        <f>SUMIFS(Data!$P:$P,Data!$K:$K,$D$4,Data!$L:$L,$D$5,Data!$M:$M,$C11)</f>
        <v>125960.5</v>
      </c>
      <c r="G11" s="23">
        <f t="shared" si="0"/>
        <v>-13217.199999999997</v>
      </c>
      <c r="H11" s="24">
        <f t="shared" si="1"/>
        <v>-6433.7799999999988</v>
      </c>
      <c r="I11" s="21">
        <f t="shared" si="2"/>
        <v>-0.10493130783062943</v>
      </c>
      <c r="J11" s="21">
        <f t="shared" si="3"/>
        <v>-5.1077758503657922E-2</v>
      </c>
      <c r="K11" s="11"/>
    </row>
    <row r="12" spans="3:11">
      <c r="C12" s="4" t="s">
        <v>9</v>
      </c>
      <c r="D12" s="23">
        <f>SUMIFS(Data!$N:$N,Data!$K:$K,$D$4,Data!$L:$L,$D$5,Data!$M:$M,$C12)</f>
        <v>51361.43</v>
      </c>
      <c r="E12" s="23">
        <f>SUMIFS(Data!$O:$O,Data!$K:$K,$D$4,Data!$L:$L,$D$5,Data!$M:$M,$C12)</f>
        <v>49600.67</v>
      </c>
      <c r="F12" s="23">
        <f>SUMIFS(Data!$P:$P,Data!$K:$K,$D$4,Data!$L:$L,$D$5,Data!$M:$M,$C12)</f>
        <v>50515.69</v>
      </c>
      <c r="G12" s="23">
        <f t="shared" si="0"/>
        <v>845.73999999999796</v>
      </c>
      <c r="H12" s="24">
        <f t="shared" si="1"/>
        <v>-915.02000000000407</v>
      </c>
      <c r="I12" s="21">
        <f t="shared" si="2"/>
        <v>1.6742125070448477E-2</v>
      </c>
      <c r="J12" s="21">
        <f t="shared" si="3"/>
        <v>-1.811358015697706E-2</v>
      </c>
      <c r="K12" s="11"/>
    </row>
    <row r="13" spans="3:11">
      <c r="C13" s="4" t="s">
        <v>7</v>
      </c>
      <c r="D13" s="23">
        <f>SUMIFS(Data!$N:$N,Data!$K:$K,$D$4,Data!$L:$L,$D$5,Data!$M:$M,$C13)</f>
        <v>115140.75</v>
      </c>
      <c r="E13" s="23">
        <f>SUMIFS(Data!$O:$O,Data!$K:$K,$D$4,Data!$L:$L,$D$5,Data!$M:$M,$C13)</f>
        <v>115151.74</v>
      </c>
      <c r="F13" s="23">
        <f>SUMIFS(Data!$P:$P,Data!$K:$K,$D$4,Data!$L:$L,$D$5,Data!$M:$M,$C13)</f>
        <v>124609.39</v>
      </c>
      <c r="G13" s="23">
        <f t="shared" si="0"/>
        <v>-9468.64</v>
      </c>
      <c r="H13" s="24">
        <f t="shared" si="1"/>
        <v>-9457.6499999999942</v>
      </c>
      <c r="I13" s="21">
        <f t="shared" si="2"/>
        <v>-7.5986568909453767E-2</v>
      </c>
      <c r="J13" s="21">
        <f t="shared" si="3"/>
        <v>-7.5898373308785128E-2</v>
      </c>
      <c r="K13" s="11"/>
    </row>
    <row r="14" spans="3:11">
      <c r="C14" s="18"/>
      <c r="D14" s="19"/>
      <c r="E14" s="19"/>
      <c r="F14" s="19"/>
      <c r="G14" s="19"/>
      <c r="H14" s="19"/>
      <c r="I14" s="19"/>
      <c r="J14" s="19"/>
      <c r="K14" s="19"/>
    </row>
    <row r="15" spans="3:11">
      <c r="D15" s="6"/>
      <c r="E15" s="6"/>
      <c r="F15" s="6"/>
      <c r="G15" s="6"/>
    </row>
  </sheetData>
  <conditionalFormatting sqref="G8:J13">
    <cfRule type="cellIs" dxfId="10" priority="1" operator="lessThan">
      <formula>0</formula>
    </cfRule>
    <cfRule type="cellIs" dxfId="9" priority="2" operator="greaterThan">
      <formula>0</formula>
    </cfRule>
  </conditionalFormatting>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F4824976-1E64-4745-93C6-D93DF1CA2969}">
          <x14:formula1>
            <xm:f>Lists!$K$4:$K$7</xm:f>
          </x14:formula1>
          <xm:sqref>D5</xm:sqref>
        </x14:dataValidation>
        <x14:dataValidation type="list" allowBlank="1" showInputMessage="1" showErrorMessage="1" xr:uid="{6D2E19BC-DFF5-48C9-844E-98E9F9F9774E}">
          <x14:formula1>
            <xm:f>Lists!$E$4:$E$5</xm:f>
          </x14:formula1>
          <xm:sqref>D4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Lists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Nzilani Keli</dc:creator>
  <cp:lastModifiedBy>Nzilani Keli</cp:lastModifiedBy>
  <dcterms:created xsi:type="dcterms:W3CDTF">2025-06-28T04:56:09Z</dcterms:created>
  <dcterms:modified xsi:type="dcterms:W3CDTF">2026-10-29T12:21:39Z</dcterms:modified>
</cp:coreProperties>
</file>